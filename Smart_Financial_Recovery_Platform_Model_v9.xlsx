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wnloads\Smart EMI Proposal\data\"/>
    </mc:Choice>
  </mc:AlternateContent>
  <xr:revisionPtr revIDLastSave="0" documentId="13_ncr:20001_{13925E77-8EF7-40FF-AA4F-62A8D5999849}" xr6:coauthVersionLast="47" xr6:coauthVersionMax="47" xr10:uidLastSave="{00000000-0000-0000-0000-000000000000}"/>
  <bookViews>
    <workbookView xWindow="-108" yWindow="-108" windowWidth="23256" windowHeight="12456" tabRatio="500" firstSheet="11" activeTab="14" xr2:uid="{00000000-000D-0000-FFFF-FFFF00000000}"/>
  </bookViews>
  <sheets>
    <sheet name="Cover" sheetId="1" r:id="rId1"/>
    <sheet name="Phase 0-2 Ask" sheetId="2" r:id="rId2"/>
    <sheet name="Assumptions" sheetId="3" r:id="rId3"/>
    <sheet name="Acquisition Funnel" sheetId="4" r:id="rId4"/>
    <sheet name="Unit Economics" sheetId="5" r:id="rId5"/>
    <sheet name="3-Year P&amp;L" sheetId="6" r:id="rId6"/>
    <sheet name="Scenario Analysis" sheetId="7" r:id="rId7"/>
    <sheet name="Pilot Design" sheetId="8" r:id="rId8"/>
    <sheet name="Capital Allocation" sheetId="9" r:id="rId9"/>
    <sheet name="CEO Dashboard" sheetId="10" r:id="rId10"/>
    <sheet name="Capital &amp; Returns" sheetId="11" r:id="rId11"/>
    <sheet name="Sensitivity" sheetId="12" r:id="rId12"/>
    <sheet name="Executive KPI Dashboard" sheetId="13" r:id="rId13"/>
    <sheet name="Board Scorecard" sheetId="14" r:id="rId14"/>
    <sheet name="Data Validation Tracker" sheetId="15" r:id="rId15"/>
    <sheet name="Implementation Budget" sheetId="16" r:id="rId16"/>
    <sheet name="Chart Data Bridge" sheetId="17" r:id="rId17"/>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6" l="1"/>
  <c r="E9" i="14"/>
  <c r="D9" i="14"/>
  <c r="E11" i="13"/>
  <c r="D11" i="13"/>
  <c r="C11" i="13"/>
  <c r="E10" i="13"/>
  <c r="D10" i="13"/>
  <c r="C10" i="13"/>
  <c r="C19" i="8"/>
  <c r="C18" i="8"/>
  <c r="C12" i="8"/>
  <c r="C17" i="8" s="1"/>
  <c r="E5" i="7"/>
  <c r="D5" i="7"/>
  <c r="C5" i="7"/>
  <c r="E4" i="7"/>
  <c r="D4" i="7"/>
  <c r="C4" i="7"/>
  <c r="E14" i="6"/>
  <c r="D14" i="6"/>
  <c r="C14" i="6"/>
  <c r="C9" i="5"/>
  <c r="C4" i="5"/>
  <c r="C17" i="4"/>
  <c r="C4" i="4"/>
  <c r="C5" i="4" s="1"/>
  <c r="E13" i="2"/>
  <c r="E14" i="2" s="1"/>
  <c r="D13" i="2"/>
  <c r="D14" i="2" s="1"/>
  <c r="C21" i="8" l="1"/>
  <c r="C22" i="8" s="1"/>
  <c r="C7" i="5"/>
  <c r="C5" i="5"/>
  <c r="C22" i="16"/>
  <c r="C44" i="3"/>
  <c r="C20" i="16"/>
  <c r="C19" i="16"/>
  <c r="C18" i="16"/>
  <c r="C17" i="16"/>
  <c r="C16" i="16"/>
  <c r="C21" i="16"/>
  <c r="D5" i="4"/>
  <c r="C6" i="4"/>
  <c r="C8" i="5" l="1"/>
  <c r="C6" i="5"/>
  <c r="C11" i="5" s="1"/>
  <c r="C4" i="11"/>
  <c r="C6" i="11"/>
  <c r="D6" i="4"/>
  <c r="C7" i="4"/>
  <c r="D7" i="4" l="1"/>
  <c r="C8" i="4"/>
  <c r="D8" i="4" l="1"/>
  <c r="C9" i="4"/>
  <c r="D9" i="4" l="1"/>
  <c r="C10" i="4"/>
  <c r="D10" i="4" l="1"/>
  <c r="C16" i="4"/>
  <c r="C18" i="4" l="1"/>
  <c r="C4" i="6" s="1"/>
  <c r="C13" i="6"/>
  <c r="D4" i="6" l="1"/>
  <c r="C5" i="6"/>
  <c r="C10" i="6"/>
  <c r="D13" i="6"/>
  <c r="C15" i="6"/>
  <c r="E4" i="6" l="1"/>
  <c r="E10" i="6" s="1"/>
  <c r="D10" i="6"/>
  <c r="D5" i="6"/>
  <c r="C7" i="6"/>
  <c r="C8" i="6"/>
  <c r="C16" i="6"/>
  <c r="C6" i="13" s="1"/>
  <c r="C17" i="11"/>
  <c r="C18" i="11" s="1"/>
  <c r="C19" i="11" s="1"/>
  <c r="C4" i="13"/>
  <c r="E13" i="6"/>
  <c r="E15" i="6" s="1"/>
  <c r="D15" i="6"/>
  <c r="E5" i="6" l="1"/>
  <c r="D7" i="6"/>
  <c r="D8" i="6"/>
  <c r="D16" i="6"/>
  <c r="D6" i="13" s="1"/>
  <c r="D17" i="11"/>
  <c r="D18" i="11" s="1"/>
  <c r="D19" i="11" s="1"/>
  <c r="D4" i="13"/>
  <c r="C9" i="7"/>
  <c r="D9" i="7"/>
  <c r="E9" i="7"/>
  <c r="C9" i="6"/>
  <c r="E7" i="6" l="1"/>
  <c r="E8" i="6"/>
  <c r="E16" i="6"/>
  <c r="E6" i="13" s="1"/>
  <c r="E17" i="11"/>
  <c r="E18" i="11" s="1"/>
  <c r="E19" i="11" s="1"/>
  <c r="E4" i="13"/>
  <c r="C6" i="7"/>
  <c r="C7" i="7" s="1"/>
  <c r="D6" i="7"/>
  <c r="D7" i="7" s="1"/>
  <c r="E6" i="7"/>
  <c r="E7" i="7" s="1"/>
  <c r="C5" i="13"/>
  <c r="C11" i="6"/>
  <c r="C18" i="6" s="1"/>
  <c r="D9" i="6"/>
  <c r="C19" i="6" l="1"/>
  <c r="C20" i="6" s="1"/>
  <c r="D5" i="13"/>
  <c r="D11" i="6"/>
  <c r="D18" i="6" s="1"/>
  <c r="E9" i="6"/>
  <c r="D4" i="11" l="1"/>
  <c r="D6" i="11"/>
  <c r="C20" i="11"/>
  <c r="C21" i="11"/>
  <c r="D19" i="6"/>
  <c r="D20" i="6" s="1"/>
  <c r="E5" i="13"/>
  <c r="E11" i="6"/>
  <c r="C7" i="13" l="1"/>
  <c r="D10" i="14"/>
  <c r="E4" i="11"/>
  <c r="E6" i="11"/>
  <c r="D20" i="11"/>
  <c r="D7" i="13" s="1"/>
  <c r="D21" i="11"/>
  <c r="E18" i="6"/>
  <c r="C8" i="7"/>
  <c r="C10" i="7" s="1"/>
  <c r="D8" i="7"/>
  <c r="D10" i="7" s="1"/>
  <c r="E8" i="7"/>
  <c r="E10" i="7" s="1"/>
  <c r="C9" i="10" l="1"/>
  <c r="C4" i="12"/>
  <c r="D4" i="12"/>
  <c r="E4" i="12"/>
  <c r="C5" i="12"/>
  <c r="D5" i="12"/>
  <c r="E5" i="12"/>
  <c r="C6" i="12"/>
  <c r="D6" i="12"/>
  <c r="E6" i="12"/>
  <c r="F6" i="12" s="1"/>
  <c r="C7" i="12"/>
  <c r="D7" i="12"/>
  <c r="E7" i="12"/>
  <c r="C8" i="12"/>
  <c r="D8" i="12"/>
  <c r="E8" i="12"/>
  <c r="E19" i="6"/>
  <c r="E20" i="6" s="1"/>
  <c r="C10" i="11" s="1"/>
  <c r="F8" i="12" l="1"/>
  <c r="F7" i="12"/>
  <c r="F5" i="11"/>
  <c r="F4" i="11" s="1"/>
  <c r="F6" i="11"/>
  <c r="E20" i="11"/>
  <c r="E21" i="11"/>
  <c r="F4" i="12"/>
  <c r="F5" i="12"/>
  <c r="C8" i="11" l="1"/>
  <c r="C9" i="11"/>
  <c r="C12" i="11"/>
  <c r="C11" i="11"/>
  <c r="E7" i="13"/>
  <c r="E10" i="14"/>
</calcChain>
</file>

<file path=xl/sharedStrings.xml><?xml version="1.0" encoding="utf-8"?>
<sst xmlns="http://schemas.openxmlformats.org/spreadsheetml/2006/main" count="529" uniqueCount="448">
  <si>
    <t xml:space="preserve">  Smart Financial Recovery Platform — Financial Model</t>
  </si>
  <si>
    <t>Anchored by the Smart EMI Consolidation Loan (Module 2)</t>
  </si>
  <si>
    <t>Companion model to the Financially Fitt Pilot Proposal — FINAL version (supersedes v4.1; ask now Phase 0–2, gated).</t>
  </si>
  <si>
    <t>Prepared by: Nidhi | Deputy Manager, FP&amp;A — August 2026</t>
  </si>
  <si>
    <t>This model has two layers. The "Phase 0–2 Ask" sheet is the current investment request (₹2–3 cr, Section 7 of the proposal). Every other sheet — Acquisition Funnel through Sensitivity — models the Year-3 platform-scale destination IF the pilot clears its six gates (Section 5). Treat those as illustrative upside, not today’s ask.</t>
  </si>
  <si>
    <t>Sheet Guide</t>
  </si>
  <si>
    <t>Sheet</t>
  </si>
  <si>
    <t>What it contains</t>
  </si>
  <si>
    <t>Assumptions</t>
  </si>
  <si>
    <t>All editable inputs: funnel conversion rates, unit economics, risk ranges, growth. Yellow cells are the ones to change.</t>
  </si>
  <si>
    <t>Acquisition Funnel</t>
  </si>
  <si>
    <t>Section 11 funnel — existing base through to active consolidated customers, and the resulting Year 1 disbursement base.</t>
  </si>
  <si>
    <t>Unit Economics</t>
  </si>
  <si>
    <t>Section 14 per-loan economics for the illustrative Module 2 anchor loan.</t>
  </si>
  <si>
    <t>3-Year P&amp;L</t>
  </si>
  <si>
    <t>Section 21 P&amp;L structure, Years 1–3, built from the Funnel and Unit Economics sheets.</t>
  </si>
  <si>
    <t>Scenario Analysis</t>
  </si>
  <si>
    <t>Section 17 Best / Base / Worst case sensitivity on approval rate and credit loss.</t>
  </si>
  <si>
    <t>Capital Allocation</t>
  </si>
  <si>
    <t>Section 27 comparison of this platform against alternative uses of the same incremental capital.</t>
  </si>
  <si>
    <t>CEO Dashboard</t>
  </si>
  <si>
    <t>Headline metrics (deck Slide 2 / proposal Section 8): baseline vs. Year-3 target.</t>
  </si>
  <si>
    <t>Capital &amp; Returns</t>
  </si>
  <si>
    <t>IRR, NPV, payback period, and regulatory capital / ROIC — the board-level capital case (Section 29).</t>
  </si>
  <si>
    <t>Sensitivity</t>
  </si>
  <si>
    <t>One-way tornado sensitivity of Year-3 PBT to approval rate, credit loss, yield, cost of funds, and opex.</t>
  </si>
  <si>
    <t>Executive KPI Dashboard</t>
  </si>
  <si>
    <t>AUM, NII, credit cost, ROE, CLV, CAC, approval rate, delinquency, collections efficiency, cross-sell, NPA, Stage 2→3 migration.</t>
  </si>
  <si>
    <t>Data Validation Tracker</t>
  </si>
  <si>
    <t>Checklist of every illustrative assumption, its owner, and target validation date — the Board's ‘what's still illustrative?’ answer.</t>
  </si>
  <si>
    <t>Implementation Budget</t>
  </si>
  <si>
    <t>Year-1 investment ask broken out by function: Technology, Operations, Risk, Compliance, Marketing, HR, Collections.</t>
  </si>
  <si>
    <t>Chart Data Bridge</t>
  </si>
  <si>
    <t>Traceability map from each deck chart/slide to the exact cell(s) in this workbook it is sourced from.</t>
  </si>
  <si>
    <t>Pilot Design</t>
  </si>
  <si>
    <t>Section 19 A/B test design, two-proportion sample-size calculation, success metrics, and go/no-go decision rule.</t>
  </si>
  <si>
    <t>Board Scorecard</t>
  </si>
  <si>
    <t>The five headline metrics for the Board: Stress Detection Accuracy, Customer Cure Rate, Re-borrowing Rate, Net Credit Loss, Risk-Adjusted ROE.</t>
  </si>
  <si>
    <t>Phase 0–2 Ask</t>
  </si>
  <si>
    <t>Section 7 — the current investment request: ₹2–3 cr for Phase 0–2 (validation + manual pilot), before any AI/platform-module spend.</t>
  </si>
  <si>
    <t>Color key: blue text on cream fill = input you can change  ·  black text = formula  ·  green text = link from another sheet. All figures marked ‘illustrative’ in the source document remain illustrative here — replace the yellow-highlighted assumption cells with validated data before using this model for an investment decision (see the Data Validation Tracker sheet in this workbook).</t>
  </si>
  <si>
    <t>Note on 'Section N' references in this workbook: most refer to the presentation's own slide-section numbering (the SECTION headers on each deck slide), which matches this model's own sheet titles — not to the numbered headings in the FINAL proposal document, which runs only to Section 13.2 after the Phase 0–2 pivot. Where a reference explicitly cites 'the proposal,' it has been corrected to the actual matching proposal section, or retargeted to the deck slide / Excel sheet that genuinely contains that detail.</t>
  </si>
  <si>
    <t>Phase 0–2 Ask — The Current Investment Request (Section 7 of the Proposal)</t>
  </si>
  <si>
    <t>This is the entire current ask: ₹2–3 crore for Phase 0–2 only — not the ₹5.7–9.7 crore previously scoped for building the AI modules, and not a platform-scale commitment. Every rupee beyond this requires the six gates in Section 5 to be cleared first. AI/platform-module costs (Modules 1, 3–6) are intentionally excluded — they are Phase 5–6 decisions.</t>
  </si>
  <si>
    <t>Item</t>
  </si>
  <si>
    <t>Phase</t>
  </si>
  <si>
    <t>Low (₹ lakh)</t>
  </si>
  <si>
    <t>High (₹ lakh)</t>
  </si>
  <si>
    <t>Note</t>
  </si>
  <si>
    <t>Customer &amp; stakeholder interviews, historical data analysis</t>
  </si>
  <si>
    <t>Phase 0</t>
  </si>
  <si>
    <t>Manual MVP build (web portal, dashboard, approval workflow — no ML)</t>
  </si>
  <si>
    <t>Phase 1</t>
  </si>
  <si>
    <t>RM / operations capacity for ~500-customer pilot</t>
  </si>
  <si>
    <t>Phase 2</t>
  </si>
  <si>
    <t>Run-rate, pilot period</t>
  </si>
  <si>
    <t>Settlement / payment-rail testing across 3+ external lenders</t>
  </si>
  <si>
    <t>Phase 1–2</t>
  </si>
  <si>
    <t>Legal / compliance / RBI-guidance review</t>
  </si>
  <si>
    <t>Phase 0–1</t>
  </si>
  <si>
    <t>Contingency</t>
  </si>
  <si>
    <t>—</t>
  </si>
  <si>
    <t>Total, Phase 0–2 (₹ lakh)</t>
  </si>
  <si>
    <t>Total, Phase 0–2 (₹ crore)</t>
  </si>
  <si>
    <t>Every other sheet in this workbook (Acquisition Funnel through Sensitivity, Capital &amp; Returns, Executive KPI Dashboard) models the Year-3 platform-scale destination — illustrative upside IF this pilot clears its six gates (Customer, Risk, Operations, Financial, Governance, Scale — Section 5 of the proposal), not the current ask. The Year-3 CEO Dashboard targets and the ₹8.3 cr / IRR / NPV figures elsewhere in this workbook describe that destination case, not what is being requested today.</t>
  </si>
  <si>
    <t xml:space="preserve">  Assumptions — edit yellow cells only</t>
  </si>
  <si>
    <t>1. Acquisition Funnel (Section 11)</t>
  </si>
  <si>
    <t>Assumption</t>
  </si>
  <si>
    <t>Value</t>
  </si>
  <si>
    <t>Existing customer base</t>
  </si>
  <si>
    <t>% holding multiple loans</t>
  </si>
  <si>
    <t>% of multi-loan flagged high-stress by Module 1</t>
  </si>
  <si>
    <t>% of flagged that are policy-eligible</t>
  </si>
  <si>
    <t>% of eligible that apply / accept offer</t>
  </si>
  <si>
    <t>% of applicants approved</t>
  </si>
  <si>
    <t>% of approved that go active</t>
  </si>
  <si>
    <t>2. Unit Economics (Section 14, Module 2 Anchor Loan)</t>
  </si>
  <si>
    <t>Average sanctioned amount per loan (₹)</t>
  </si>
  <si>
    <t>Average tenor (months)</t>
  </si>
  <si>
    <t>Yield (% p.a.)</t>
  </si>
  <si>
    <t>Cost of funds (% p.a.)</t>
  </si>
  <si>
    <t>Processing fee (% of sanctioned amount)</t>
  </si>
  <si>
    <t>Operating cost per loan (₹)</t>
  </si>
  <si>
    <t>3. Risk Framework — Base Case (Section 13)</t>
  </si>
  <si>
    <t>Net credit loss rate — base case (% of avg book)</t>
  </si>
  <si>
    <t>Net credit loss rate — conservative/worst case</t>
  </si>
  <si>
    <t>Net credit loss rate — best case</t>
  </si>
  <si>
    <t>Approval rate — base case</t>
  </si>
  <si>
    <t>Approval rate — worst case</t>
  </si>
  <si>
    <t>Approval rate — best case</t>
  </si>
  <si>
    <t>4. Growth, Book Build-Up &amp; Cost (Section 21)</t>
  </si>
  <si>
    <t>Disbursement growth, Year 2 vs Year 1</t>
  </si>
  <si>
    <t>Disbursement growth, Year 3 vs Year 2</t>
  </si>
  <si>
    <t>Annual book run-off rate (repayment/prepayment)</t>
  </si>
  <si>
    <t>Fixed platform operating cost — Year 1 (₹ cr)</t>
  </si>
  <si>
    <t>Fixed platform operating cost — Year 2 (₹ cr)</t>
  </si>
  <si>
    <t>Fixed platform operating cost — Year 3 (₹ cr)</t>
  </si>
  <si>
    <t>Tax rate</t>
  </si>
  <si>
    <t>5. Capital, Cost of Capital &amp; Returns</t>
  </si>
  <si>
    <t>Platform build cost, Year 0 (₹ cr)</t>
  </si>
  <si>
    <t>Cost of equity / hurdle rate (Ke)</t>
  </si>
  <si>
    <t>Capital adequacy ratio required (CRAR)</t>
  </si>
  <si>
    <t>NBFC current CET1 capital base (₹ cr)</t>
  </si>
  <si>
    <t>Terminal growth rate beyond Year 3 (g)</t>
  </si>
  <si>
    <t>IRR/NPV/payback treat this as a standalone incremental investment: Year 0 build cost against Years 1–3 PAT plus a Year-3 terminal value. This is a simplification for board discussion, not a treasury-grade DCF — see the Capital &amp; Returns sheet notes.</t>
  </si>
  <si>
    <t xml:space="preserve">  Acquisition Funnel (Section 11)</t>
  </si>
  <si>
    <t>Funnel Step</t>
  </si>
  <si>
    <t>Customers</t>
  </si>
  <si>
    <t>Conversion</t>
  </si>
  <si>
    <t>Driver (from Assumptions)</t>
  </si>
  <si>
    <t>Holding multiple loans</t>
  </si>
  <si>
    <t>Flagged high-stress by Module 1</t>
  </si>
  <si>
    <t>% flagged high-stress</t>
  </si>
  <si>
    <t>Policy-eligible</t>
  </si>
  <si>
    <t>% policy-eligible</t>
  </si>
  <si>
    <t>Apply / accept offer</t>
  </si>
  <si>
    <t>% apply / accept</t>
  </si>
  <si>
    <t>Approved</t>
  </si>
  <si>
    <t>% approved</t>
  </si>
  <si>
    <t>Active consolidated customers</t>
  </si>
  <si>
    <t>% active</t>
  </si>
  <si>
    <t>Conversion rates are illustrative pilot targets shown on deck Slide 8 — this level of funnel detail is not carried as a numbered section in the FINAL proposal document. The Pilot Design sheet is designed to measure and replace each rate with an observed value.</t>
  </si>
  <si>
    <t>Year 1 Disbursement Base</t>
  </si>
  <si>
    <t>Active consolidated customers (Year 1)</t>
  </si>
  <si>
    <t>Average ticket size (₹)</t>
  </si>
  <si>
    <t>Year 1 disbursements (₹ cr)</t>
  </si>
  <si>
    <t xml:space="preserve">  Unit Economics — Module 2 Anchor Loan (Section 14)</t>
  </si>
  <si>
    <t>Component</t>
  </si>
  <si>
    <t>Formula</t>
  </si>
  <si>
    <t>Sanctioned amount (₹)</t>
  </si>
  <si>
    <t>Link: Assumptions</t>
  </si>
  <si>
    <t>Average outstanding book (approx., ₹)</t>
  </si>
  <si>
    <t>Formula: Sanctioned × 50% (average over amortising tenor)</t>
  </si>
  <si>
    <t>Gross interest margin (₹, on average book)</t>
  </si>
  <si>
    <t>Formula: Avg book × (Yield − Cost of funds)</t>
  </si>
  <si>
    <t>Fee income — upfront (₹)</t>
  </si>
  <si>
    <t>Formula: Sanctioned amount × processing fee %</t>
  </si>
  <si>
    <t>Credit cost (₹)</t>
  </si>
  <si>
    <t>Formula: Avg book × base-case net credit loss %</t>
  </si>
  <si>
    <t>Operating cost (₹)</t>
  </si>
  <si>
    <t>Net contribution per loan (₹)</t>
  </si>
  <si>
    <t>Matches the illustrative per-loan structure shown on deck Slide 11/18 (₹1,20,000 sanctioned, 30-month tenor, 18% yield, 10% cost of funds, 2% fee, 3% credit cost, ₹1,500 opex). Average book is approximated at 50% of sanctioned amount for a straight-line amortising loan — refine against the company's actual amortisation schedule before use.</t>
  </si>
  <si>
    <t xml:space="preserve">  3-Year P&amp;L Projection — Module 2 Anchor Loan (Section 21)</t>
  </si>
  <si>
    <t>Line Item (₹ cr unless noted)</t>
  </si>
  <si>
    <t>Year 1</t>
  </si>
  <si>
    <t>Year 2</t>
  </si>
  <si>
    <t>Year 3</t>
  </si>
  <si>
    <t>Formula (Year 1 shown)</t>
  </si>
  <si>
    <t>Disbursements</t>
  </si>
  <si>
    <t>Year 1 link: Acquisition Funnel; Yr2/Yr3 = prior year × (1 + growth rate)</t>
  </si>
  <si>
    <t>Average loan book</t>
  </si>
  <si>
    <t>Prior book × (1 − run-off) + 50% of current-year disbursements</t>
  </si>
  <si>
    <t>Interest income</t>
  </si>
  <si>
    <t>Formula: Average book × yield %</t>
  </si>
  <si>
    <t>Interest expense</t>
  </si>
  <si>
    <t>Formula: Average book × cost of funds %</t>
  </si>
  <si>
    <t>Net interest income (NII)</t>
  </si>
  <si>
    <t>Formula: Interest income − Interest expense</t>
  </si>
  <si>
    <t>Fee income</t>
  </si>
  <si>
    <t>Formula: Disbursements × fee %</t>
  </si>
  <si>
    <t>Total operating income</t>
  </si>
  <si>
    <t>Formula: NII + Fee income</t>
  </si>
  <si>
    <t>Variable opex (active loans × opex/loan)</t>
  </si>
  <si>
    <t>Formula: Active loans × opex per loan, scaled with growth in Yr2/Yr3</t>
  </si>
  <si>
    <t>Fixed platform operating cost</t>
  </si>
  <si>
    <t>Total operating expense</t>
  </si>
  <si>
    <t>Formula: Variable opex + Fixed platform cost</t>
  </si>
  <si>
    <t>Credit cost</t>
  </si>
  <si>
    <t>Formula: Average book × base-case net credit loss %</t>
  </si>
  <si>
    <t>PBT</t>
  </si>
  <si>
    <t>Formula: Operating income − Opex − Credit cost</t>
  </si>
  <si>
    <t>Tax</t>
  </si>
  <si>
    <t>Formula: MAX(0, PBT) × tax rate (no tax benefit assumed on a loss year)</t>
  </si>
  <si>
    <t>PAT</t>
  </si>
  <si>
    <t>Formula: PBT − Tax</t>
  </si>
  <si>
    <t>Structure follows the 3-Year Financial Projection shown on deck Slide 19. Book build-up and growth-rate assumptions are set in the Assumptions sheet so the projection can be recalculated as pilot data (Section 19) replaces the illustrative funnel and risk inputs.</t>
  </si>
  <si>
    <t xml:space="preserve">  Scenario Analysis — Year 3, Module 2 Book (Section 17)</t>
  </si>
  <si>
    <t>Metric</t>
  </si>
  <si>
    <t>Worst Case</t>
  </si>
  <si>
    <t>Base Case</t>
  </si>
  <si>
    <t>Best Case</t>
  </si>
  <si>
    <t>Driver</t>
  </si>
  <si>
    <t>Approval rate</t>
  </si>
  <si>
    <t>Link: Assumptions risk framework</t>
  </si>
  <si>
    <t>Net credit loss rate</t>
  </si>
  <si>
    <t>Average book (₹ cr)</t>
  </si>
  <si>
    <t>Base case links to 3-Year P&amp;L Year 3; Worst/Best scaled by relative approval rate</t>
  </si>
  <si>
    <t>Credit cost (₹ cr)</t>
  </si>
  <si>
    <t>Formula: Average book × net credit loss rate</t>
  </si>
  <si>
    <t>Operating income (₹ cr, illustrative, scaled with book)</t>
  </si>
  <si>
    <t>Scales Year-3 base-case operating income with the scenario book size</t>
  </si>
  <si>
    <t>Operating expense (₹ cr, held flat)</t>
  </si>
  <si>
    <t>Fixed + variable opex held at base-case Year 3 level across scenarios</t>
  </si>
  <si>
    <t>PBT (₹ cr)</t>
  </si>
  <si>
    <t>Reproduces the structure of Section 17.1. The worst/best case average book scales the base-case Year-3 book (from the 3-Year P&amp;L sheet) by the relative approval rate, consistent with the proposal's own directional framing — replace with a full scenario re-run of the funnel and P&amp;L sheets for a rigorous stress test.</t>
  </si>
  <si>
    <t xml:space="preserve">  Pilot Design &amp; A/B Test — Sample Size, Metrics, Go/No-Go (Section 19)</t>
  </si>
  <si>
    <t>1. Pilot Structure</t>
  </si>
  <si>
    <t>Regions</t>
  </si>
  <si>
    <t>1–2, sufficient flagged-customer volume for significance within 6 months</t>
  </si>
  <si>
    <t>Duration</t>
  </si>
  <si>
    <t>6–9 months, go/no-go review at month 6</t>
  </si>
  <si>
    <t>Population</t>
  </si>
  <si>
    <t>Existing customers flagged by Module 1's rules-based version</t>
  </si>
  <si>
    <t>Treatment group</t>
  </si>
  <si>
    <t>Receives proactive, pre-qualified consolidation offer via app/RM</t>
  </si>
  <si>
    <t>Control group</t>
  </si>
  <si>
    <t>Standard marketing / no proactive offer, tracked on the same metrics</t>
  </si>
  <si>
    <t>2. Sample Size Calculation — Two-Proportion Test</t>
  </si>
  <si>
    <t>Input</t>
  </si>
  <si>
    <t>Baseline 90-day delinquency (control), p1</t>
  </si>
  <si>
    <t>Linked: Assumptions, base-case net credit loss rate used as delinquency proxy</t>
  </si>
  <si>
    <t>Expected absolute reduction (treatment), pp</t>
  </si>
  <si>
    <t>Illustrative — the smallest effect worth detecting; tighten once pilot data exists</t>
  </si>
  <si>
    <t>Significance level, alpha (two-sided)</t>
  </si>
  <si>
    <t>Standard 5% significance</t>
  </si>
  <si>
    <t>Statistical power, 1-beta</t>
  </si>
  <si>
    <t>Standard 80% power</t>
  </si>
  <si>
    <t>p2 (treatment delinquency)</t>
  </si>
  <si>
    <t>Formula: p1 − expected reduction</t>
  </si>
  <si>
    <t>Z (alpha/2)</t>
  </si>
  <si>
    <t>Z (power)</t>
  </si>
  <si>
    <t>Required sample size per arm (n)</t>
  </si>
  <si>
    <t>Two-proportion z-test, standard formula — recompute once real baseline delinquency (from pilot data) replaces the linked assumption</t>
  </si>
  <si>
    <t>Total pilot population needed (both arms)</t>
  </si>
  <si>
    <t>Compare against 'Policy-eligible' pool size on the Acquisition Funnel sheet to confirm the pilot region(s) can supply this volume</t>
  </si>
  <si>
    <t>3. Success Metrics</t>
  </si>
  <si>
    <t>Type</t>
  </si>
  <si>
    <t>Threshold</t>
  </si>
  <si>
    <t>90-day and 180-day delinquency, treatment vs. control</t>
  </si>
  <si>
    <t>Primary</t>
  </si>
  <si>
    <t>Treatment at or below base-case net credit loss rate (Assumptions)</t>
  </si>
  <si>
    <t>Offer acceptance rate</t>
  </si>
  <si>
    <t>Secondary</t>
  </si>
  <si>
    <t>≥ 70% of the CEO Dashboard target funnel rate</t>
  </si>
  <si>
    <t>Retention at 12 months</t>
  </si>
  <si>
    <t>≥ 70% of the CEO Dashboard Yr-3 retention target</t>
  </si>
  <si>
    <t>Cross-sell attach rate at 6 months</t>
  </si>
  <si>
    <t>Directionally positive vs. non-pilot base</t>
  </si>
  <si>
    <t>Complaint rate / regulatory escalations</t>
  </si>
  <si>
    <t>Guardrail</t>
  </si>
  <si>
    <t>No material increase vs. book average</t>
  </si>
  <si>
    <t>Model bias check across demographic segments</t>
  </si>
  <si>
    <t>No statistically significant disparity in approval/pricing</t>
  </si>
  <si>
    <t>4. Go / No-Go Decision Rule</t>
  </si>
  <si>
    <t>Decision</t>
  </si>
  <si>
    <t>Condition</t>
  </si>
  <si>
    <t>Action</t>
  </si>
  <si>
    <t>GO</t>
  </si>
  <si>
    <t>Treatment delinquency ≤ base case, acceptance &amp; retention ≥ 70% of target</t>
  </si>
  <si>
    <t>Proceed to Phase 2 scale-up</t>
  </si>
  <si>
    <t>RECALIBRATE</t>
  </si>
  <si>
    <t>Directionally positive but below threshold</t>
  </si>
  <si>
    <t>Adjust eligibility rules or offer design, re-test</t>
  </si>
  <si>
    <t>NO-GO</t>
  </si>
  <si>
    <t>Treatment delinquency ≥ conservative case, or guardrail breach</t>
  </si>
  <si>
    <t>Stop; escalate to Risk &amp; Board</t>
  </si>
  <si>
    <t>Sample-size math is a standard two-proportion power calculation for board-discussion purposes. Statistics/Risk should confirm the minimum-detectable-effect assumption (currently 1.5pp) and re-run before the pilot is finalised.</t>
  </si>
  <si>
    <t xml:space="preserve">  Capital Allocation Comparison (Section 27)</t>
  </si>
  <si>
    <t>Investment Option</t>
  </si>
  <si>
    <t>Expected ROE</t>
  </si>
  <si>
    <t>Risk</t>
  </si>
  <si>
    <t>Capital Intensity</t>
  </si>
  <si>
    <t>Strategic Value</t>
  </si>
  <si>
    <t>New Personal Loan Product (new customers)</t>
  </si>
  <si>
    <t>Medium</t>
  </si>
  <si>
    <t>High</t>
  </si>
  <si>
    <t>Credit Card Expansion</t>
  </si>
  <si>
    <t>SME Lending</t>
  </si>
  <si>
    <t>Smart Financial Recovery Platform (this proposal)</t>
  </si>
  <si>
    <t>Medium–High</t>
  </si>
  <si>
    <t>Lower</t>
  </si>
  <si>
    <t>Low</t>
  </si>
  <si>
    <t>This platform is not rated highest on expected ROE alone — credit card expansion rates higher on that single dimension. The case rests on deploying capital against existing, behaviourally-known customers with a built-in early-warning system (deck Slide 3, Value Creation Chain), which is why risk and capital intensity are rated lower than the new-customer alternatives. See deck Slide 22 (Capital Allocation) and proposal Section 8 for the full argument.</t>
  </si>
  <si>
    <t xml:space="preserve">  CEO Dashboard — Headline Metrics (deck Slide 2 / proposal Section 8)</t>
  </si>
  <si>
    <t>Current (Baseline)</t>
  </si>
  <si>
    <t>After Platform (Yr 3 Target)</t>
  </si>
  <si>
    <t>Source</t>
  </si>
  <si>
    <t>Customer retention</t>
  </si>
  <si>
    <t>Section 8</t>
  </si>
  <si>
    <t>NPA / GNPA</t>
  </si>
  <si>
    <t>Customer lifetime value (CLV, ₹)</t>
  </si>
  <si>
    <t>Cross-sell rate</t>
  </si>
  <si>
    <t>Return on equity (ROE)</t>
  </si>
  <si>
    <t>Incremental annual PBT, Year 3 (₹ cr) — this model</t>
  </si>
  <si>
    <t>Live link — 3-Year P&amp;L, Year 3</t>
  </si>
  <si>
    <t>Illustrative range quoted in proposal Section 8 (₹ cr)</t>
  </si>
  <si>
    <t>18–22</t>
  </si>
  <si>
    <t>Baseline and Year-3 target cells are inputs (blue) so this dashboard can be refreshed once the company's actual retention, NPA, CLV and ROE baselines replace the illustrative figures (Section 24.2, item 1). The PBT line is a live formula link to the 3-Year P&amp;L sheet, so it moves automatically as assumptions are updated. These Year-3 figures are the platform-scale destination if the Phase 0–2 pilot clears its gates (Section 5) — they are not the basis for the current funding ask (see 'Phase 0–2 Ask' sheet).</t>
  </si>
  <si>
    <t xml:space="preserve">  Capital, IRR, NPV &amp; Payback — Module 2 Anchor Loan</t>
  </si>
  <si>
    <t>Year 0</t>
  </si>
  <si>
    <t>Cash flow (₹ cr)</t>
  </si>
  <si>
    <t>Year 0 = −build cost; Yr1–3 = PAT (link: 3-Year P&amp;L); Yr3 also carries terminal value below</t>
  </si>
  <si>
    <t>Terminal value, end of Year 3 (₹ cr)</t>
  </si>
  <si>
    <t>Gordon growth perpetuity on Year-3 PAT: PAT×(1+g)/(Ke−g)</t>
  </si>
  <si>
    <t>Cash flow, excl. terminal value (₹ cr)</t>
  </si>
  <si>
    <t>Same as above but Year 3 = PAT only, no perpetuity — used for the conservative IRR/NPV below</t>
  </si>
  <si>
    <t>IRR (Years 0–3, incl. terminal value)</t>
  </si>
  <si>
    <t>Formula: IRR() on the Year 0–3 cash flow row above</t>
  </si>
  <si>
    <t>NPV @ cost of equity (₹ cr)</t>
  </si>
  <si>
    <t>Formula: NPV(Ke, Yr1:Yr3) + Yr0 outflow (undiscounted, t=0)</t>
  </si>
  <si>
    <t>Payback period (years)</t>
  </si>
  <si>
    <t>Simple (undiscounted) payback — first year cumulative PAT exceeds build cost</t>
  </si>
  <si>
    <t xml:space="preserve">  — IRR, excluding terminal value (conservative)</t>
  </si>
  <si>
    <t>Formula: IRR() on Years 0–2 plus Year-3 PAT only, no perpetuity</t>
  </si>
  <si>
    <t xml:space="preserve">  — NPV, excluding terminal value (conservative, ₹ cr)</t>
  </si>
  <si>
    <t>Formula: NPV(Ke, Yr1, Yr2, Yr3 PAT only) + Yr0 outflow, no perpetuity</t>
  </si>
  <si>
    <t>The headline IRR/NPV above include a Year-3 terminal value using a Gordon growth perpetuity (PAT growing at 5% forever, discounted at 15%) — this is standard DCF practice but the multiple it implies (~10.5x Year-3 PAT) is aggressive for a still-nascent book. The ‘excluding terminal value’ rows above are the conservative read: value from the three explicit years only. Treasury/FP&amp;A should present both to the Board, not the headline number alone.</t>
  </si>
  <si>
    <t>Capital Required &amp; Return on Regulatory Capital</t>
  </si>
  <si>
    <t>Average loan book (₹ cr)</t>
  </si>
  <si>
    <t>Link: 3-Year P&amp;L</t>
  </si>
  <si>
    <t>Regulatory capital required (₹ cr)</t>
  </si>
  <si>
    <t>Formula: Average book × CRAR requirement</t>
  </si>
  <si>
    <t>% of current CET1 base absorbed</t>
  </si>
  <si>
    <t>Formula: Capital required / CET1 base — incremental capital consumption</t>
  </si>
  <si>
    <t>Return on regulatory capital (ROIC)</t>
  </si>
  <si>
    <t>Formula: PAT / Capital required</t>
  </si>
  <si>
    <t>Economic Profit / EVA (₹ cr)</t>
  </si>
  <si>
    <t>Formula: PAT − (Regulatory capital required × Cost of equity) — Economic Value Added on regulatory capital</t>
  </si>
  <si>
    <t>This is a board-discussion-grade capital view, not a treasury ALM/liquidity model. It excludes funding-mix impact, RWA density variation by risk-weight bucket, and Basel/RBI-specific NBFC capital treatment nuances — Finance/Treasury should re-run this with the actual CRAR methodology before it is used in a capital-adequacy submission (see the Data Validation Tracker sheet; deck Slide 27, Regulatory &amp; Compliance). This entire sheet is Year-3 destination-case economics, contingent on Phase 0–2 clearing its gates — the current ask carries no IRR/NPV of its own (see 'Phase 0–2 Ask' sheet, Section 7).</t>
  </si>
  <si>
    <t xml:space="preserve">  Sensitivity — Year 3 PBT Drivers</t>
  </si>
  <si>
    <t>Downside</t>
  </si>
  <si>
    <t>Base</t>
  </si>
  <si>
    <t>Upside</t>
  </si>
  <si>
    <t>Swing (₹ cr)</t>
  </si>
  <si>
    <t>Method</t>
  </si>
  <si>
    <t>Approval rate (± vs. base)</t>
  </si>
  <si>
    <t>Book scaled by relative approval rate; margin+credit cost rate applied to the delta</t>
  </si>
  <si>
    <t>Net credit loss rate (± vs. base)</t>
  </si>
  <si>
    <t>Formula: Base PBT ∓ Average book × change in loss rate</t>
  </si>
  <si>
    <t>Yield (± 100 bps)</t>
  </si>
  <si>
    <t>Formula: Base PBT ± Average book × 100 bps</t>
  </si>
  <si>
    <t>Cost of funds (± 100 bps)</t>
  </si>
  <si>
    <t>Formula: Base PBT ∓/+ Average book × 100 bps (inverse of yield)</t>
  </si>
  <si>
    <t>Operating expense (± 10%)</t>
  </si>
  <si>
    <t>Formula: Base PBT ∓/+ 10% of Year-3 total opex</t>
  </si>
  <si>
    <t>One-way sensitivities around the Year-3 base-case PBT, held independently (not combined). Use alongside the Scenario Analysis sheet, which combines approval rate and loss rate together for a full worst/best case. Chart below reads as a tornado — longer bars are higher-impact drivers.</t>
  </si>
  <si>
    <t xml:space="preserve">  Executive KPI Dashboard — Year 3</t>
  </si>
  <si>
    <t>KPI</t>
  </si>
  <si>
    <t>Formula / Source</t>
  </si>
  <si>
    <t>AUM — average book (₹ cr)</t>
  </si>
  <si>
    <t>NII (₹ cr)</t>
  </si>
  <si>
    <t>ROE contribution (PAT / capital required)</t>
  </si>
  <si>
    <t>Link: Capital &amp; Returns (ROIC)</t>
  </si>
  <si>
    <t>Customer lifetime value, CLV (₹)</t>
  </si>
  <si>
    <t>Link: CEO Dashboard (illustrative baseline → target)</t>
  </si>
  <si>
    <t>Customer acquisition cost, CAC (₹)</t>
  </si>
  <si>
    <t>Illustrative — lower over time as own-base channel dominates (deck Slide 14, Go-To-Market Strategy)</t>
  </si>
  <si>
    <t>Link: Assumptions (base case)</t>
  </si>
  <si>
    <t>Delinquency / net credit loss rate</t>
  </si>
  <si>
    <t>Collections efficiency (illustrative)</t>
  </si>
  <si>
    <t>Illustrative — improves as Module 4 reduces re-borrowing (deck Slide 10, Module 4 — Financial Wellness)</t>
  </si>
  <si>
    <t>NPA / GNPA (book-level, illustrative)</t>
  </si>
  <si>
    <t>Stage 2 → Stage 3 migration rate (illustrative)</t>
  </si>
  <si>
    <t>Illustrative — directional only; requires ECL model output to validate</t>
  </si>
  <si>
    <t>AUM, NII, credit cost and ROE contribution are live formula links and move automatically with the rest of the model. CLV, CAC, collections efficiency, cross-sell, NPA and Stage 2→3 migration are illustrative inputs (Section 24.2) — replace with the actual portfolio-monitoring feed once available so this becomes a live ongoing-performance dashboard, not just a projection.</t>
  </si>
  <si>
    <t xml:space="preserve">  Board Scorecard — The Five Metrics That Matter</t>
  </si>
  <si>
    <t>If these five improve, the platform is succeeding. Everything else in this workbook rolls up into one of these.</t>
  </si>
  <si>
    <t>Definition</t>
  </si>
  <si>
    <t>Pilot Target (Yr 1)</t>
  </si>
  <si>
    <t>Yr 3 Target</t>
  </si>
  <si>
    <t>1. Stress Detection Accuracy</t>
  </si>
  <si>
    <t>% of Module-1-flagged customers who go on to show genuine repayment stress within 90 days (precision of the flagging model)</t>
  </si>
  <si>
    <t>2. Customer Cure Rate</t>
  </si>
  <si>
    <t>% of enrolled customers who move from flagged/stressed to current with no missed payment within 6 months of consolidation</t>
  </si>
  <si>
    <t>3. Re-borrowing Rate</t>
  </si>
  <si>
    <t>% of consolidated customers who take on new unsecured debt within 6 months of consolidation (lower is better)</t>
  </si>
  <si>
    <t>4. Net Credit Loss</t>
  </si>
  <si>
    <t>Net credit loss on the consolidation book as a % of average book (base case, linked live from Assumptions)</t>
  </si>
  <si>
    <t>5. Risk-Adjusted ROE</t>
  </si>
  <si>
    <t>Return on regulatory capital (PAT / regulatory capital required) — links live to the Capital &amp; Returns sheet</t>
  </si>
  <si>
    <t>Metrics 1–3 are new — they don't exist elsewhere in this model because Module 1 hasn't been built yet. They are illustrative placeholders (blue) to be replaced once the pilot's bureau-refresh and repayment data start flowing (see Data Validation Tracker). Metrics 4–5 are live formula links and already move with the rest of the model.</t>
  </si>
  <si>
    <t xml:space="preserve">  Data Validation Tracker — Illustrative → Validated</t>
  </si>
  <si>
    <t>Assumption Area</t>
  </si>
  <si>
    <t>Sheet(s) Affected</t>
  </si>
  <si>
    <t>Owner</t>
  </si>
  <si>
    <t>Target</t>
  </si>
  <si>
    <t>Status</t>
  </si>
  <si>
    <t>Funnel conversion rates (base, flag, eligible, apply, approve, active)</t>
  </si>
  <si>
    <t>FP&amp;A + Data Science</t>
  </si>
  <si>
    <t>Pre-pilot (Month 1–2)</t>
  </si>
  <si>
    <t>Illustrative</t>
  </si>
  <si>
    <t>Risk parameters — net credit loss, approval rate ranges</t>
  </si>
  <si>
    <t>Assumptions, Scenario Analysis</t>
  </si>
  <si>
    <t>Chief Risk Officer</t>
  </si>
  <si>
    <t>Unit economics — yield, cost of funds, fee %</t>
  </si>
  <si>
    <t>Unit Economics, 3-Year P&amp;L</t>
  </si>
  <si>
    <t>Treasury / Finance</t>
  </si>
  <si>
    <t>Customer baseline — retention, NPA, CLV, ROE</t>
  </si>
  <si>
    <t>CEO Dashboard, Executive KPI Dashboard</t>
  </si>
  <si>
    <t>FP&amp;A</t>
  </si>
  <si>
    <t>Month 1</t>
  </si>
  <si>
    <t>Technology build-cost estimates</t>
  </si>
  <si>
    <t>Technology</t>
  </si>
  <si>
    <t>Month 1–2 (vendor RFP)</t>
  </si>
  <si>
    <t>Competitive intelligence</t>
  </si>
  <si>
    <t>n/a — proposal Section 6</t>
  </si>
  <si>
    <t>Strategy / Product</t>
  </si>
  <si>
    <t>Month 2</t>
  </si>
  <si>
    <t>Capital adequacy / CRAR methodology</t>
  </si>
  <si>
    <t>Treasury</t>
  </si>
  <si>
    <t>Pre-capital submission</t>
  </si>
  <si>
    <t>Cost of equity / hurdle rate</t>
  </si>
  <si>
    <t>Finance / Treasury</t>
  </si>
  <si>
    <t>Status is an editable input (blue) — update each row to ‘Validated’ as real data replaces the illustrative figure in the referenced sheet(s). This tracker is the single checklist a Board can use to ask ‘what's still illustrative in this model?’ at any point before an investment decision.</t>
  </si>
  <si>
    <t xml:space="preserve">  Implementation Budget by Function — Year 1</t>
  </si>
  <si>
    <t>Editable Cost Assumptions</t>
  </si>
  <si>
    <t>Function</t>
  </si>
  <si>
    <t>Cost (₹ cr)</t>
  </si>
  <si>
    <t>Technology (build — Section 30)</t>
  </si>
  <si>
    <t>Operations (settlement rails, collections tooling)</t>
  </si>
  <si>
    <t>Risk (model validation, monitoring)</t>
  </si>
  <si>
    <t>Compliance (legal review, DPIA, regulatory sign-off)</t>
  </si>
  <si>
    <t>Marketing (in-app / own-base comms only, Phase 1)</t>
  </si>
  <si>
    <t>HR (frontline &amp; collections staff training)</t>
  </si>
  <si>
    <t>Collections (outreach system integration &amp; training)</t>
  </si>
  <si>
    <t>Total Year 1 implementation budget</t>
  </si>
  <si>
    <t>% of total — by function</t>
  </si>
  <si>
    <t>% of Total</t>
  </si>
  <si>
    <t>Technology's ₹5.5 cr sits inside the ₹4–7 cr range estimated by module in Section 30; the remaining functions are illustrative planning allocations, not vendor quotes. This total is the number that should appear on the Board Recommendation page as the Year-1 investment ask — replace all rows with actual functional budget submissions before that ask is finalised.</t>
  </si>
  <si>
    <t xml:space="preserve">  Chart Data Bridge — Model → Deck Traceability</t>
  </si>
  <si>
    <t>The presentation's charts are generated from a data-extraction script that reads this workbook after recalculation — not retyped by hand. If assumptions change here, re-running the extraction script and the deck-build script refreshes every chart below to match. This sheet is the map between the two files.</t>
  </si>
  <si>
    <t>Deck Slide</t>
  </si>
  <si>
    <t>Chart / Figure</t>
  </si>
  <si>
    <t>Exact Source Cell(s) In This Workbook</t>
  </si>
  <si>
    <t>Slide 14 — Customer Acquisition Funnel</t>
  </si>
  <si>
    <t>Bar chart, 7 funnel steps</t>
  </si>
  <si>
    <t>'Acquisition Funnel'!C4:C15 (one value per step)</t>
  </si>
  <si>
    <t>Slide 18 — 3-Year Financial Projection</t>
  </si>
  <si>
    <t>Disbursements &amp; PBT, Years 1–3</t>
  </si>
  <si>
    <t>'3-Year P&amp;L'!C4:E4 (Disbursements), C18:E18 (PBT)</t>
  </si>
  <si>
    <t>Slide 20 — Scenario Analysis</t>
  </si>
  <si>
    <t>Worst / Base / Best PBT</t>
  </si>
  <si>
    <t>'Scenario Analysis'!C10:E10</t>
  </si>
  <si>
    <t>Appendix (last slide) — Capital, IRR, NPV &amp; Payback</t>
  </si>
  <si>
    <t>Headline &amp; conservative IRR/NPV/payback</t>
  </si>
  <si>
    <t>'Capital &amp; Returns'!C8, C9, C10, C11, C12</t>
  </si>
  <si>
    <t>Slide 25 — Regulatory capital table</t>
  </si>
  <si>
    <t>Capital required, % CET1, ROIC by year</t>
  </si>
  <si>
    <t>'Capital &amp; Returns'!C18:E20</t>
  </si>
  <si>
    <t>Slide 26 — Implementation budget total</t>
  </si>
  <si>
    <t>₹ cr total ask</t>
  </si>
  <si>
    <t>'Implementation Budget'!C12</t>
  </si>
  <si>
    <t>Slide 28 — Executive KPI Dashboard</t>
  </si>
  <si>
    <t>12-metric table, Year 3 column</t>
  </si>
  <si>
    <t>'Executive KPI Dashboard'!C4:E15</t>
  </si>
  <si>
    <t>Slide 29 — Board Recommendation</t>
  </si>
  <si>
    <t>Investment ask, expected return, success metrics</t>
  </si>
  <si>
    <t>'Implementation Budget'!C12; 'Capital &amp; Returns'!C10, E20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</si>
</sst>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quot;cr&quot;"/>
    <numFmt numFmtId="165" formatCode="#,##0;\(#,##0\);\-"/>
    <numFmt numFmtId="166" formatCode="0.0%"/>
    <numFmt numFmtId="167" formatCode="#,##0.0;\(#,##0.0\);\-"/>
    <numFmt numFmtId="168" formatCode="0.0&quot; yrs&quot;"/>
  </numFmts>
  <fonts count="20" x14ac:knownFonts="1">
    <font>
      <sz val="11"/>
      <color theme="1"/>
      <name val="Calibri"/>
      <family val="2"/>
      <charset val="1"/>
    </font>
    <font>
      <b/>
      <sz val="16"/>
      <color rgb="FFFFFFFF"/>
      <name val="Arial"/>
      <charset val="1"/>
    </font>
    <font>
      <b/>
      <sz val="12"/>
      <name val="Arial"/>
      <charset val="1"/>
    </font>
    <font>
      <sz val="10"/>
      <name val="Arial"/>
      <charset val="1"/>
    </font>
    <font>
      <i/>
      <sz val="10"/>
      <color rgb="FFC00000"/>
      <name val="Arial"/>
      <charset val="1"/>
    </font>
    <font>
      <b/>
      <sz val="13"/>
      <color rgb="FF1F3864"/>
      <name val="Arial"/>
      <charset val="1"/>
    </font>
    <font>
      <b/>
      <sz val="11"/>
      <color rgb="FFFFFFFF"/>
      <name val="Arial"/>
      <charset val="1"/>
    </font>
    <font>
      <b/>
      <sz val="10"/>
      <name val="Arial"/>
      <charset val="1"/>
    </font>
    <font>
      <i/>
      <sz val="9"/>
      <color rgb="FF7F7F7F"/>
      <name val="Arial"/>
      <charset val="1"/>
    </font>
    <font>
      <i/>
      <sz val="9"/>
      <name val="Cambria"/>
      <charset val="1"/>
    </font>
    <font>
      <b/>
      <sz val="14"/>
      <color rgb="FFFFFFFF"/>
      <name val="Arial"/>
      <charset val="1"/>
    </font>
    <font>
      <i/>
      <sz val="9"/>
      <color rgb="FF595959"/>
      <name val="Arial"/>
      <charset val="1"/>
    </font>
    <font>
      <b/>
      <sz val="10"/>
      <color rgb="FFFFFFFF"/>
      <name val="Arial"/>
      <charset val="1"/>
    </font>
    <font>
      <sz val="10"/>
      <color rgb="FF0000FF"/>
      <name val="Arial"/>
      <charset val="1"/>
    </font>
    <font>
      <b/>
      <sz val="11"/>
      <color rgb="FF1F2761"/>
      <name val="Arial"/>
      <charset val="1"/>
    </font>
    <font>
      <sz val="11"/>
      <color rgb="FF0000FF"/>
      <name val="Cambria"/>
      <charset val="1"/>
    </font>
    <font>
      <sz val="11"/>
      <color rgb="FF008000"/>
      <name val="Cambria"/>
      <charset val="1"/>
    </font>
    <font>
      <sz val="11"/>
      <color rgb="FF000000"/>
      <name val="Cambria"/>
      <charset val="1"/>
    </font>
    <font>
      <b/>
      <sz val="11"/>
      <name val="Arial"/>
      <charset val="1"/>
    </font>
    <font>
      <b/>
      <sz val="12"/>
      <color rgb="FF000000"/>
      <name val="Cambria"/>
      <charset val="1"/>
    </font>
  </fonts>
  <fills count="8">
    <fill>
      <patternFill patternType="none"/>
    </fill>
    <fill>
      <patternFill patternType="gray125"/>
    </fill>
    <fill>
      <patternFill patternType="solid">
        <fgColor rgb="FF1F3864"/>
        <bgColor rgb="FF1F2761"/>
      </patternFill>
    </fill>
    <fill>
      <patternFill patternType="solid">
        <fgColor rgb="FFF2F2F2"/>
        <bgColor rgb="FFFFFFFF"/>
      </patternFill>
    </fill>
    <fill>
      <patternFill patternType="solid">
        <fgColor rgb="FF1F2761"/>
        <bgColor rgb="FF1F3864"/>
      </patternFill>
    </fill>
    <fill>
      <patternFill patternType="solid">
        <fgColor rgb="FF44546A"/>
        <bgColor rgb="FF595959"/>
      </patternFill>
    </fill>
    <fill>
      <patternFill patternType="solid">
        <fgColor rgb="FFFFF2CC"/>
        <bgColor rgb="FFF2F2F2"/>
      </patternFill>
    </fill>
    <fill>
      <patternFill patternType="solid">
        <fgColor rgb="FFD9E2F3"/>
        <b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top style="thin">
        <color rgb="FFBFBFBF"/>
      </top>
      <bottom style="thin">
        <color rgb="FFBFBFBF"/>
      </bottom>
      <diagonal/>
    </border>
    <border>
      <left style="thin">
        <color rgb="FFBFBFBF"/>
      </left>
      <right/>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93">
    <xf numFmtId="0" fontId="0" fillId="0" borderId="0" xfId="0"/>
    <xf numFmtId="0" fontId="3" fillId="0" borderId="1" xfId="0" applyFont="1" applyBorder="1"/>
    <xf numFmtId="167" fontId="16" fillId="0" borderId="1" xfId="0" applyNumberFormat="1" applyFont="1" applyBorder="1"/>
    <xf numFmtId="0" fontId="6" fillId="2" borderId="3" xfId="0" applyFont="1" applyFill="1" applyBorder="1" applyAlignment="1">
      <alignment vertical="center" wrapText="1"/>
    </xf>
    <xf numFmtId="0" fontId="3" fillId="0" borderId="1" xfId="0" applyFont="1" applyBorder="1" applyAlignment="1">
      <alignment vertical="center" wrapText="1"/>
    </xf>
    <xf numFmtId="0" fontId="11" fillId="0" borderId="0" xfId="0" applyFont="1" applyAlignment="1">
      <alignment vertical="top" wrapText="1"/>
    </xf>
    <xf numFmtId="0" fontId="10" fillId="4" borderId="0" xfId="0" applyFont="1" applyFill="1"/>
    <xf numFmtId="0" fontId="8" fillId="0" borderId="0" xfId="0" applyFont="1" applyAlignment="1">
      <alignment vertical="top" wrapText="1"/>
    </xf>
    <xf numFmtId="0" fontId="3" fillId="3" borderId="0" xfId="0" applyFont="1" applyFill="1" applyAlignment="1">
      <alignment wrapText="1"/>
    </xf>
    <xf numFmtId="0" fontId="3" fillId="3" borderId="1" xfId="0" applyFont="1" applyFill="1" applyBorder="1" applyAlignment="1">
      <alignment wrapText="1"/>
    </xf>
    <xf numFmtId="0" fontId="3" fillId="0" borderId="1" xfId="0" applyFont="1" applyBorder="1" applyAlignment="1">
      <alignment wrapText="1"/>
    </xf>
    <xf numFmtId="0" fontId="5" fillId="0" borderId="0" xfId="0" applyFont="1"/>
    <xf numFmtId="0" fontId="1" fillId="2" borderId="0" xfId="0" applyFont="1" applyFill="1" applyAlignment="1">
      <alignment vertical="center" indent="1"/>
    </xf>
    <xf numFmtId="0" fontId="1" fillId="2" borderId="0" xfId="0" applyFont="1" applyFill="1" applyAlignment="1">
      <alignment vertical="center" indent="1"/>
    </xf>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center" vertical="center" wrapText="1"/>
    </xf>
    <xf numFmtId="0" fontId="0" fillId="0" borderId="1" xfId="0" applyBorder="1"/>
    <xf numFmtId="0" fontId="7" fillId="0" borderId="1" xfId="0" applyFont="1" applyBorder="1"/>
    <xf numFmtId="0" fontId="3" fillId="0" borderId="1" xfId="0" applyFont="1" applyBorder="1" applyAlignment="1">
      <alignment wrapText="1"/>
    </xf>
    <xf numFmtId="0" fontId="7" fillId="3" borderId="1" xfId="0" applyFont="1" applyFill="1" applyBorder="1"/>
    <xf numFmtId="0" fontId="7" fillId="3" borderId="0" xfId="0" applyFont="1" applyFill="1"/>
    <xf numFmtId="0" fontId="7" fillId="0" borderId="0" xfId="0" applyFont="1"/>
    <xf numFmtId="0" fontId="12" fillId="5" borderId="2" xfId="0" applyFont="1" applyFill="1" applyBorder="1" applyAlignment="1">
      <alignment horizontal="center" vertical="center" wrapText="1"/>
    </xf>
    <xf numFmtId="0" fontId="3" fillId="0" borderId="2" xfId="0" applyFont="1" applyBorder="1" applyAlignment="1">
      <alignment vertical="top" wrapText="1"/>
    </xf>
    <xf numFmtId="0" fontId="3" fillId="0" borderId="2" xfId="0" applyFont="1" applyBorder="1" applyAlignment="1">
      <alignment horizontal="center"/>
    </xf>
    <xf numFmtId="3" fontId="13" fillId="0" borderId="2" xfId="0" applyNumberFormat="1" applyFont="1" applyBorder="1"/>
    <xf numFmtId="0" fontId="11" fillId="0" borderId="2" xfId="0" applyFont="1" applyBorder="1"/>
    <xf numFmtId="0" fontId="7" fillId="0" borderId="2" xfId="0" applyFont="1" applyBorder="1"/>
    <xf numFmtId="0" fontId="0" fillId="0" borderId="2" xfId="0" applyBorder="1"/>
    <xf numFmtId="3" fontId="7" fillId="0" borderId="2" xfId="0" applyNumberFormat="1" applyFont="1" applyBorder="1"/>
    <xf numFmtId="164" fontId="14" fillId="0" borderId="2" xfId="0" applyNumberFormat="1" applyFont="1" applyBorder="1"/>
    <xf numFmtId="0" fontId="3" fillId="0" borderId="1" xfId="0" applyFont="1" applyBorder="1"/>
    <xf numFmtId="1" fontId="15" fillId="6" borderId="1" xfId="0" applyNumberFormat="1" applyFont="1" applyFill="1" applyBorder="1"/>
    <xf numFmtId="9" fontId="15" fillId="6" borderId="1" xfId="0" applyNumberFormat="1" applyFont="1" applyFill="1" applyBorder="1"/>
    <xf numFmtId="165" fontId="15" fillId="6" borderId="1" xfId="0" applyNumberFormat="1" applyFont="1" applyFill="1" applyBorder="1"/>
    <xf numFmtId="166" fontId="15" fillId="6" borderId="1" xfId="0" applyNumberFormat="1" applyFont="1" applyFill="1" applyBorder="1"/>
    <xf numFmtId="167" fontId="15" fillId="6" borderId="1" xfId="0" applyNumberFormat="1" applyFont="1" applyFill="1" applyBorder="1"/>
    <xf numFmtId="165" fontId="16" fillId="0" borderId="1" xfId="0" applyNumberFormat="1" applyFont="1" applyBorder="1"/>
    <xf numFmtId="0" fontId="3" fillId="3" borderId="1" xfId="0" applyFont="1" applyFill="1" applyBorder="1"/>
    <xf numFmtId="165" fontId="17" fillId="3" borderId="1" xfId="0" applyNumberFormat="1" applyFont="1" applyFill="1" applyBorder="1"/>
    <xf numFmtId="9" fontId="17" fillId="3" borderId="1" xfId="0" applyNumberFormat="1" applyFont="1" applyFill="1" applyBorder="1"/>
    <xf numFmtId="0" fontId="8" fillId="3" borderId="1" xfId="0" applyFont="1" applyFill="1" applyBorder="1"/>
    <xf numFmtId="165" fontId="17" fillId="0" borderId="1" xfId="0" applyNumberFormat="1" applyFont="1" applyBorder="1"/>
    <xf numFmtId="9" fontId="17" fillId="0" borderId="1" xfId="0" applyNumberFormat="1" applyFont="1" applyBorder="1"/>
    <xf numFmtId="0" fontId="8" fillId="0" borderId="1" xfId="0" applyFont="1" applyBorder="1"/>
    <xf numFmtId="167" fontId="17" fillId="0" borderId="1" xfId="0" applyNumberFormat="1" applyFont="1" applyBorder="1"/>
    <xf numFmtId="167" fontId="17" fillId="3" borderId="1" xfId="0" applyNumberFormat="1" applyFont="1" applyFill="1" applyBorder="1"/>
    <xf numFmtId="166" fontId="17" fillId="0" borderId="1" xfId="0" applyNumberFormat="1" applyFont="1" applyBorder="1"/>
    <xf numFmtId="0" fontId="1" fillId="2" borderId="0" xfId="0" applyFont="1" applyFill="1"/>
    <xf numFmtId="0" fontId="7" fillId="0" borderId="1" xfId="0" applyFont="1" applyBorder="1" applyAlignment="1">
      <alignment vertical="center"/>
    </xf>
    <xf numFmtId="0" fontId="3" fillId="0" borderId="1" xfId="0" applyFont="1" applyBorder="1" applyAlignment="1">
      <alignment vertical="center" wrapText="1"/>
    </xf>
    <xf numFmtId="0" fontId="6" fillId="2" borderId="1" xfId="0" applyFont="1" applyFill="1" applyBorder="1" applyAlignment="1">
      <alignment vertical="center" wrapText="1"/>
    </xf>
    <xf numFmtId="0" fontId="3" fillId="0" borderId="1" xfId="0" applyFont="1" applyBorder="1" applyAlignment="1">
      <alignment vertical="center"/>
    </xf>
    <xf numFmtId="166" fontId="16" fillId="6" borderId="1" xfId="0" applyNumberFormat="1" applyFont="1" applyFill="1" applyBorder="1" applyAlignment="1">
      <alignment horizontal="center" vertical="center"/>
    </xf>
    <xf numFmtId="166" fontId="15" fillId="6" borderId="1" xfId="0" applyNumberFormat="1" applyFont="1" applyFill="1" applyBorder="1" applyAlignment="1">
      <alignment horizontal="center" vertical="center"/>
    </xf>
    <xf numFmtId="2" fontId="15" fillId="6" borderId="1" xfId="0" applyNumberFormat="1" applyFont="1" applyFill="1" applyBorder="1" applyAlignment="1">
      <alignment horizontal="center" vertical="center"/>
    </xf>
    <xf numFmtId="166" fontId="17" fillId="0" borderId="1" xfId="0" applyNumberFormat="1" applyFont="1" applyBorder="1" applyAlignment="1">
      <alignment horizontal="center" vertical="center"/>
    </xf>
    <xf numFmtId="2" fontId="17" fillId="0" borderId="1" xfId="0" applyNumberFormat="1" applyFont="1" applyBorder="1" applyAlignment="1">
      <alignment horizontal="center" vertical="center"/>
    </xf>
    <xf numFmtId="0" fontId="18" fillId="0" borderId="1" xfId="0" applyFont="1" applyBorder="1" applyAlignment="1">
      <alignment vertical="center"/>
    </xf>
    <xf numFmtId="3" fontId="19" fillId="0" borderId="1" xfId="0" applyNumberFormat="1" applyFont="1" applyBorder="1" applyAlignment="1">
      <alignment horizontal="center" vertical="center"/>
    </xf>
    <xf numFmtId="3" fontId="17" fillId="0" borderId="1" xfId="0" applyNumberFormat="1" applyFont="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left"/>
    </xf>
    <xf numFmtId="0" fontId="3" fillId="0" borderId="1" xfId="0" applyFont="1" applyBorder="1" applyAlignment="1">
      <alignment horizontal="center"/>
    </xf>
    <xf numFmtId="0" fontId="7" fillId="3" borderId="1" xfId="0" applyFont="1" applyFill="1" applyBorder="1" applyAlignment="1">
      <alignment horizontal="left"/>
    </xf>
    <xf numFmtId="0" fontId="3" fillId="3" borderId="1" xfId="0" applyFont="1" applyFill="1" applyBorder="1" applyAlignment="1">
      <alignment horizontal="center"/>
    </xf>
    <xf numFmtId="0" fontId="7" fillId="7" borderId="1" xfId="0" applyFont="1" applyFill="1" applyBorder="1" applyAlignment="1">
      <alignment horizontal="left"/>
    </xf>
    <xf numFmtId="0" fontId="3" fillId="7" borderId="1" xfId="0" applyFont="1" applyFill="1" applyBorder="1" applyAlignment="1">
      <alignment horizontal="center"/>
    </xf>
    <xf numFmtId="166" fontId="17" fillId="3" borderId="1" xfId="0" applyNumberFormat="1" applyFont="1" applyFill="1" applyBorder="1"/>
    <xf numFmtId="9" fontId="15" fillId="6" borderId="1" xfId="0" applyNumberFormat="1" applyFont="1" applyFill="1" applyBorder="1" applyAlignment="1">
      <alignment horizontal="center" vertical="center"/>
    </xf>
    <xf numFmtId="166" fontId="16" fillId="0" borderId="1" xfId="0" applyNumberFormat="1" applyFont="1" applyBorder="1" applyAlignment="1">
      <alignment horizontal="center" vertical="center"/>
    </xf>
    <xf numFmtId="0" fontId="8" fillId="0" borderId="1" xfId="0" applyFont="1" applyBorder="1" applyAlignment="1">
      <alignment wrapText="1"/>
    </xf>
    <xf numFmtId="0" fontId="15" fillId="6" borderId="1" xfId="0" applyFont="1" applyFill="1" applyBorder="1"/>
    <xf numFmtId="166" fontId="17" fillId="3" borderId="1" xfId="0" applyNumberFormat="1" applyFont="1" applyFill="1" applyBorder="1"/>
    <xf numFmtId="167" fontId="17" fillId="3" borderId="1" xfId="0" applyNumberFormat="1" applyFont="1" applyFill="1" applyBorder="1"/>
    <xf numFmtId="168" fontId="17" fillId="3" borderId="1" xfId="0" applyNumberFormat="1" applyFont="1" applyFill="1" applyBorder="1"/>
    <xf numFmtId="166" fontId="17" fillId="0" borderId="1" xfId="0" applyNumberFormat="1" applyFont="1" applyBorder="1"/>
    <xf numFmtId="167" fontId="17" fillId="0" borderId="1" xfId="0" applyNumberFormat="1" applyFont="1" applyBorder="1"/>
    <xf numFmtId="0" fontId="6" fillId="2" borderId="4"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8" fillId="0" borderId="4" xfId="0" applyFont="1" applyBorder="1" applyAlignment="1">
      <alignment horizontal="left"/>
    </xf>
    <xf numFmtId="0" fontId="8" fillId="0" borderId="0" xfId="0" applyFont="1" applyBorder="1" applyAlignment="1">
      <alignment horizontal="left"/>
    </xf>
    <xf numFmtId="0" fontId="8" fillId="0" borderId="0" xfId="0" applyFont="1" applyAlignment="1">
      <alignment vertical="justify" wrapText="1"/>
    </xf>
    <xf numFmtId="0" fontId="6" fillId="2" borderId="3"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4" fillId="0" borderId="0" xfId="0" applyFont="1" applyAlignment="1">
      <alignment horizontal="left" vertical="top" wrapText="1"/>
    </xf>
    <xf numFmtId="0" fontId="9"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78787"/>
      <rgbColor rgb="FF1F3864"/>
      <rgbColor rgb="FF339966"/>
      <rgbColor rgb="FF003300"/>
      <rgbColor rgb="FF333300"/>
      <rgbColor rgb="FFC0392B"/>
      <rgbColor rgb="FF993366"/>
      <rgbColor rgb="FF44546A"/>
      <rgbColor rgb="FF1F27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Year 3 PBT Sensitivity (₹ cr swing)</a:t>
            </a:r>
          </a:p>
        </c:rich>
      </c:tx>
      <c:overlay val="0"/>
      <c:spPr>
        <a:noFill/>
        <a:ln w="0">
          <a:noFill/>
        </a:ln>
      </c:spPr>
    </c:title>
    <c:autoTitleDeleted val="0"/>
    <c:plotArea>
      <c:layout/>
      <c:barChart>
        <c:barDir val="bar"/>
        <c:grouping val="clustered"/>
        <c:varyColors val="0"/>
        <c:ser>
          <c:idx val="0"/>
          <c:order val="0"/>
          <c:spPr>
            <a:solidFill>
              <a:srgbClr val="C0392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Sensitivity!$B$4:$B$8</c:f>
              <c:strCache>
                <c:ptCount val="5"/>
                <c:pt idx="0">
                  <c:v>Approval rate (± vs. base)</c:v>
                </c:pt>
                <c:pt idx="1">
                  <c:v>Net credit loss rate (± vs. base)</c:v>
                </c:pt>
                <c:pt idx="2">
                  <c:v>Yield (± 100 bps)</c:v>
                </c:pt>
                <c:pt idx="3">
                  <c:v>Cost of funds (± 100 bps)</c:v>
                </c:pt>
                <c:pt idx="4">
                  <c:v>Operating expense (± 10%)</c:v>
                </c:pt>
              </c:strCache>
            </c:strRef>
          </c:cat>
          <c:val>
            <c:numRef>
              <c:f>Sensitivity!$C$4:$C$8</c:f>
              <c:numCache>
                <c:formatCode>#,##0.0;\(#,##0.0\);\-</c:formatCode>
                <c:ptCount val="5"/>
                <c:pt idx="0">
                  <c:v>-3.9838384416000014</c:v>
                </c:pt>
                <c:pt idx="1">
                  <c:v>4.1510130719999943</c:v>
                </c:pt>
                <c:pt idx="2">
                  <c:v>8.670375023999993</c:v>
                </c:pt>
                <c:pt idx="3">
                  <c:v>8.670375023999993</c:v>
                </c:pt>
                <c:pt idx="4">
                  <c:v>10.191447479999994</c:v>
                </c:pt>
              </c:numCache>
            </c:numRef>
          </c:val>
          <c:extLst>
            <c:ext xmlns:c16="http://schemas.microsoft.com/office/drawing/2014/chart" uri="{C3380CC4-5D6E-409C-BE32-E72D297353CC}">
              <c16:uniqueId val="{00000000-0E23-46FE-84AE-92E1B83AC020}"/>
            </c:ext>
          </c:extLst>
        </c:ser>
        <c:ser>
          <c:idx val="1"/>
          <c:order val="1"/>
          <c:spPr>
            <a:solidFill>
              <a:srgbClr val="BFBFB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Sensitivity!$B$4:$B$8</c:f>
              <c:strCache>
                <c:ptCount val="5"/>
                <c:pt idx="0">
                  <c:v>Approval rate (± vs. base)</c:v>
                </c:pt>
                <c:pt idx="1">
                  <c:v>Net credit loss rate (± vs. base)</c:v>
                </c:pt>
                <c:pt idx="2">
                  <c:v>Yield (± 100 bps)</c:v>
                </c:pt>
                <c:pt idx="3">
                  <c:v>Cost of funds (± 100 bps)</c:v>
                </c:pt>
                <c:pt idx="4">
                  <c:v>Operating expense (± 10%)</c:v>
                </c:pt>
              </c:strCache>
            </c:strRef>
          </c:cat>
          <c:val>
            <c:numRef>
              <c:f>Sensitivity!$D$4:$D$8</c:f>
              <c:numCache>
                <c:formatCode>#,##0.0;\(#,##0.0\);\-</c:formatCode>
                <c:ptCount val="5"/>
                <c:pt idx="0">
                  <c:v>10.930055999999993</c:v>
                </c:pt>
                <c:pt idx="1">
                  <c:v>10.930055999999993</c:v>
                </c:pt>
                <c:pt idx="2">
                  <c:v>10.930055999999993</c:v>
                </c:pt>
                <c:pt idx="3">
                  <c:v>10.930055999999993</c:v>
                </c:pt>
                <c:pt idx="4">
                  <c:v>10.930055999999993</c:v>
                </c:pt>
              </c:numCache>
            </c:numRef>
          </c:val>
          <c:extLst>
            <c:ext xmlns:c16="http://schemas.microsoft.com/office/drawing/2014/chart" uri="{C3380CC4-5D6E-409C-BE32-E72D297353CC}">
              <c16:uniqueId val="{00000001-0E23-46FE-84AE-92E1B83AC020}"/>
            </c:ext>
          </c:extLst>
        </c:ser>
        <c:ser>
          <c:idx val="2"/>
          <c:order val="2"/>
          <c:spPr>
            <a:solidFill>
              <a:srgbClr val="1F386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Sensitivity!$B$4:$B$8</c:f>
              <c:strCache>
                <c:ptCount val="5"/>
                <c:pt idx="0">
                  <c:v>Approval rate (± vs. base)</c:v>
                </c:pt>
                <c:pt idx="1">
                  <c:v>Net credit loss rate (± vs. base)</c:v>
                </c:pt>
                <c:pt idx="2">
                  <c:v>Yield (± 100 bps)</c:v>
                </c:pt>
                <c:pt idx="3">
                  <c:v>Cost of funds (± 100 bps)</c:v>
                </c:pt>
                <c:pt idx="4">
                  <c:v>Operating expense (± 10%)</c:v>
                </c:pt>
              </c:strCache>
            </c:strRef>
          </c:cat>
          <c:val>
            <c:numRef>
              <c:f>Sensitivity!$E$4:$E$8</c:f>
              <c:numCache>
                <c:formatCode>#,##0.0;\(#,##0.0\);\-</c:formatCode>
                <c:ptCount val="5"/>
                <c:pt idx="0">
                  <c:v>20.872652294399991</c:v>
                </c:pt>
                <c:pt idx="1">
                  <c:v>14.319577463999993</c:v>
                </c:pt>
                <c:pt idx="2">
                  <c:v>13.189736975999994</c:v>
                </c:pt>
                <c:pt idx="3">
                  <c:v>13.189736975999994</c:v>
                </c:pt>
                <c:pt idx="4">
                  <c:v>11.668664519999993</c:v>
                </c:pt>
              </c:numCache>
            </c:numRef>
          </c:val>
          <c:extLst>
            <c:ext xmlns:c16="http://schemas.microsoft.com/office/drawing/2014/chart" uri="{C3380CC4-5D6E-409C-BE32-E72D297353CC}">
              <c16:uniqueId val="{00000002-0E23-46FE-84AE-92E1B83AC020}"/>
            </c:ext>
          </c:extLst>
        </c:ser>
        <c:dLbls>
          <c:showLegendKey val="0"/>
          <c:showVal val="0"/>
          <c:showCatName val="0"/>
          <c:showSerName val="0"/>
          <c:showPercent val="0"/>
          <c:showBubbleSize val="0"/>
        </c:dLbls>
        <c:gapWidth val="150"/>
        <c:axId val="99759880"/>
        <c:axId val="31782331"/>
      </c:barChart>
      <c:catAx>
        <c:axId val="99759880"/>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782331"/>
        <c:crosses val="autoZero"/>
        <c:auto val="1"/>
        <c:lblAlgn val="ctr"/>
        <c:lblOffset val="100"/>
        <c:noMultiLvlLbl val="0"/>
      </c:catAx>
      <c:valAx>
        <c:axId val="31782331"/>
        <c:scaling>
          <c:orientation val="minMax"/>
        </c:scaling>
        <c:delete val="0"/>
        <c:axPos val="b"/>
        <c:numFmt formatCode="#,##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7598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96840</xdr:rowOff>
    </xdr:from>
    <xdr:to>
      <xdr:col>6</xdr:col>
      <xdr:colOff>569880</xdr:colOff>
      <xdr:row>25</xdr:row>
      <xdr:rowOff>115200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E29"/>
  <sheetViews>
    <sheetView showGridLines="0" topLeftCell="A17" zoomScaleNormal="100" workbookViewId="0">
      <selection activeCell="A29" sqref="A29:XFD29"/>
    </sheetView>
  </sheetViews>
  <sheetFormatPr defaultColWidth="8.6640625" defaultRowHeight="14.4" x14ac:dyDescent="0.3"/>
  <cols>
    <col min="1" max="1" width="2" customWidth="1"/>
    <col min="2" max="5" width="30" customWidth="1"/>
  </cols>
  <sheetData>
    <row r="2" spans="1:5" ht="33.75" customHeight="1" x14ac:dyDescent="0.3">
      <c r="A2" s="12" t="s">
        <v>0</v>
      </c>
      <c r="B2" s="12"/>
      <c r="C2" s="12"/>
      <c r="D2" s="12"/>
      <c r="E2" s="12"/>
    </row>
    <row r="4" spans="1:5" ht="15" customHeight="1" x14ac:dyDescent="0.3">
      <c r="B4" s="14" t="s">
        <v>1</v>
      </c>
    </row>
    <row r="5" spans="1:5" ht="15" customHeight="1" x14ac:dyDescent="0.3">
      <c r="B5" s="15" t="s">
        <v>2</v>
      </c>
    </row>
    <row r="6" spans="1:5" ht="15" customHeight="1" x14ac:dyDescent="0.3">
      <c r="B6" s="15" t="s">
        <v>3</v>
      </c>
    </row>
    <row r="7" spans="1:5" ht="15" customHeight="1" x14ac:dyDescent="0.3">
      <c r="B7" s="90" t="s">
        <v>4</v>
      </c>
      <c r="C7" s="90"/>
      <c r="D7" s="90"/>
      <c r="E7" s="90"/>
    </row>
    <row r="8" spans="1:5" ht="15" customHeight="1" x14ac:dyDescent="0.3">
      <c r="B8" s="16"/>
      <c r="C8" s="16"/>
    </row>
    <row r="9" spans="1:5" ht="15.75" customHeight="1" x14ac:dyDescent="0.3">
      <c r="B9" s="17" t="s">
        <v>5</v>
      </c>
      <c r="C9" s="17"/>
      <c r="D9" s="17"/>
      <c r="E9" s="17"/>
    </row>
    <row r="10" spans="1:5" ht="30" customHeight="1" x14ac:dyDescent="0.3">
      <c r="B10" s="18" t="s">
        <v>6</v>
      </c>
      <c r="C10" s="87" t="s">
        <v>7</v>
      </c>
      <c r="D10" s="88"/>
      <c r="E10" s="89"/>
    </row>
    <row r="11" spans="1:5" ht="27.75" customHeight="1" x14ac:dyDescent="0.3">
      <c r="B11" s="20" t="s">
        <v>8</v>
      </c>
      <c r="C11" s="10" t="s">
        <v>9</v>
      </c>
      <c r="D11" s="10"/>
      <c r="E11" s="10"/>
    </row>
    <row r="12" spans="1:5" ht="27.75" customHeight="1" x14ac:dyDescent="0.3">
      <c r="B12" s="22" t="s">
        <v>10</v>
      </c>
      <c r="C12" s="9" t="s">
        <v>11</v>
      </c>
      <c r="D12" s="9"/>
      <c r="E12" s="9"/>
    </row>
    <row r="13" spans="1:5" ht="27.75" customHeight="1" x14ac:dyDescent="0.3">
      <c r="B13" s="20" t="s">
        <v>12</v>
      </c>
      <c r="C13" s="10" t="s">
        <v>13</v>
      </c>
      <c r="D13" s="10"/>
      <c r="E13" s="10"/>
    </row>
    <row r="14" spans="1:5" ht="27.75" customHeight="1" x14ac:dyDescent="0.3">
      <c r="B14" s="22" t="s">
        <v>14</v>
      </c>
      <c r="C14" s="9" t="s">
        <v>15</v>
      </c>
      <c r="D14" s="9"/>
      <c r="E14" s="9"/>
    </row>
    <row r="15" spans="1:5" ht="27.75" customHeight="1" x14ac:dyDescent="0.3">
      <c r="B15" s="20" t="s">
        <v>16</v>
      </c>
      <c r="C15" s="10" t="s">
        <v>17</v>
      </c>
      <c r="D15" s="10"/>
      <c r="E15" s="10"/>
    </row>
    <row r="16" spans="1:5" ht="27.75" customHeight="1" x14ac:dyDescent="0.3">
      <c r="B16" s="22" t="s">
        <v>18</v>
      </c>
      <c r="C16" s="9" t="s">
        <v>19</v>
      </c>
      <c r="D16" s="9"/>
      <c r="E16" s="9"/>
    </row>
    <row r="17" spans="2:5" ht="27.75" customHeight="1" x14ac:dyDescent="0.3">
      <c r="B17" s="20" t="s">
        <v>20</v>
      </c>
      <c r="C17" s="10" t="s">
        <v>21</v>
      </c>
      <c r="D17" s="10"/>
      <c r="E17" s="10"/>
    </row>
    <row r="18" spans="2:5" ht="27.75" customHeight="1" x14ac:dyDescent="0.3">
      <c r="B18" s="22" t="s">
        <v>22</v>
      </c>
      <c r="C18" s="9" t="s">
        <v>23</v>
      </c>
      <c r="D18" s="9"/>
      <c r="E18" s="9"/>
    </row>
    <row r="19" spans="2:5" ht="27.75" customHeight="1" x14ac:dyDescent="0.3">
      <c r="B19" s="20" t="s">
        <v>24</v>
      </c>
      <c r="C19" s="10" t="s">
        <v>25</v>
      </c>
      <c r="D19" s="10"/>
      <c r="E19" s="10"/>
    </row>
    <row r="20" spans="2:5" ht="27.75" customHeight="1" x14ac:dyDescent="0.3">
      <c r="B20" s="22" t="s">
        <v>26</v>
      </c>
      <c r="C20" s="9" t="s">
        <v>27</v>
      </c>
      <c r="D20" s="9"/>
      <c r="E20" s="9"/>
    </row>
    <row r="21" spans="2:5" ht="27.75" customHeight="1" x14ac:dyDescent="0.3">
      <c r="B21" s="20" t="s">
        <v>28</v>
      </c>
      <c r="C21" s="10" t="s">
        <v>29</v>
      </c>
      <c r="D21" s="10"/>
      <c r="E21" s="10"/>
    </row>
    <row r="22" spans="2:5" ht="27.75" customHeight="1" x14ac:dyDescent="0.3">
      <c r="B22" s="22" t="s">
        <v>30</v>
      </c>
      <c r="C22" s="9" t="s">
        <v>31</v>
      </c>
      <c r="D22" s="9"/>
      <c r="E22" s="9"/>
    </row>
    <row r="23" spans="2:5" ht="27.75" customHeight="1" x14ac:dyDescent="0.3">
      <c r="B23" s="20" t="s">
        <v>32</v>
      </c>
      <c r="C23" s="10" t="s">
        <v>33</v>
      </c>
      <c r="D23" s="10"/>
      <c r="E23" s="10"/>
    </row>
    <row r="24" spans="2:5" ht="27.75" customHeight="1" x14ac:dyDescent="0.3">
      <c r="B24" s="23" t="s">
        <v>34</v>
      </c>
      <c r="C24" s="8" t="s">
        <v>35</v>
      </c>
      <c r="D24" s="8"/>
      <c r="E24" s="8"/>
    </row>
    <row r="25" spans="2:5" ht="27.75" customHeight="1" x14ac:dyDescent="0.3">
      <c r="B25" s="20" t="s">
        <v>36</v>
      </c>
      <c r="C25" s="10" t="s">
        <v>37</v>
      </c>
      <c r="D25" s="10"/>
      <c r="E25" s="10"/>
    </row>
    <row r="26" spans="2:5" ht="27.75" customHeight="1" x14ac:dyDescent="0.3">
      <c r="B26" s="23" t="s">
        <v>38</v>
      </c>
      <c r="C26" s="8" t="s">
        <v>39</v>
      </c>
      <c r="D26" s="8"/>
      <c r="E26" s="8"/>
    </row>
    <row r="27" spans="2:5" ht="45" customHeight="1" x14ac:dyDescent="0.3">
      <c r="B27" s="7" t="s">
        <v>40</v>
      </c>
      <c r="C27" s="7"/>
      <c r="D27" s="7"/>
      <c r="E27" s="7"/>
    </row>
    <row r="29" spans="2:5" s="92" customFormat="1" ht="37.799999999999997" customHeight="1" x14ac:dyDescent="0.3">
      <c r="B29" s="91" t="s">
        <v>41</v>
      </c>
      <c r="C29" s="91"/>
      <c r="D29" s="91"/>
      <c r="E29" s="91"/>
    </row>
  </sheetData>
  <mergeCells count="21">
    <mergeCell ref="B29:E29"/>
    <mergeCell ref="C23:E23"/>
    <mergeCell ref="C24:E24"/>
    <mergeCell ref="C25:E25"/>
    <mergeCell ref="B27:E27"/>
    <mergeCell ref="C26:E26"/>
    <mergeCell ref="C18:E18"/>
    <mergeCell ref="C19:E19"/>
    <mergeCell ref="C20:E20"/>
    <mergeCell ref="C21:E21"/>
    <mergeCell ref="C22:E22"/>
    <mergeCell ref="C13:E13"/>
    <mergeCell ref="C14:E14"/>
    <mergeCell ref="C15:E15"/>
    <mergeCell ref="C16:E16"/>
    <mergeCell ref="C17:E17"/>
    <mergeCell ref="A2:E2"/>
    <mergeCell ref="C11:E11"/>
    <mergeCell ref="C12:E12"/>
    <mergeCell ref="C10:E10"/>
    <mergeCell ref="B7:E7"/>
  </mergeCells>
  <pageMargins left="0.75" right="0.75" top="1" bottom="1" header="0.511811023622047" footer="0.511811023622047"/>
  <pageSetup paperSize="9" scale="7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8"/>
  <sheetViews>
    <sheetView showGridLines="0" zoomScaleNormal="100" workbookViewId="0">
      <selection sqref="A1:F1"/>
    </sheetView>
  </sheetViews>
  <sheetFormatPr defaultColWidth="8.6640625" defaultRowHeight="14.4" x14ac:dyDescent="0.3"/>
  <cols>
    <col min="1" max="1" width="2" customWidth="1"/>
    <col min="2" max="2" width="48" customWidth="1"/>
    <col min="3" max="5" width="14" customWidth="1"/>
    <col min="6" max="6" width="40" customWidth="1"/>
  </cols>
  <sheetData>
    <row r="1" spans="1:6" ht="25.5" customHeight="1" x14ac:dyDescent="0.3">
      <c r="A1" s="6" t="s">
        <v>42</v>
      </c>
      <c r="B1" s="6"/>
      <c r="C1" s="6"/>
      <c r="D1" s="6"/>
      <c r="E1" s="6"/>
      <c r="F1" s="6"/>
    </row>
    <row r="3" spans="1:6" ht="15" customHeight="1" x14ac:dyDescent="0.3">
      <c r="B3" s="5" t="s">
        <v>43</v>
      </c>
      <c r="C3" s="5"/>
      <c r="D3" s="5"/>
      <c r="E3" s="5"/>
      <c r="F3" s="5"/>
    </row>
    <row r="4" spans="1:6" ht="15" customHeight="1" x14ac:dyDescent="0.3">
      <c r="B4" s="5"/>
      <c r="C4" s="5"/>
      <c r="D4" s="5"/>
      <c r="E4" s="5"/>
      <c r="F4" s="5"/>
    </row>
    <row r="6" spans="1:6" ht="15" customHeight="1" x14ac:dyDescent="0.3">
      <c r="B6" s="25" t="s">
        <v>44</v>
      </c>
      <c r="C6" s="25" t="s">
        <v>45</v>
      </c>
      <c r="D6" s="25" t="s">
        <v>46</v>
      </c>
      <c r="E6" s="25" t="s">
        <v>47</v>
      </c>
      <c r="F6" s="25" t="s">
        <v>48</v>
      </c>
    </row>
    <row r="7" spans="1:6" ht="15" customHeight="1" x14ac:dyDescent="0.3">
      <c r="B7" s="26" t="s">
        <v>49</v>
      </c>
      <c r="C7" s="27" t="s">
        <v>50</v>
      </c>
      <c r="D7" s="28">
        <v>15</v>
      </c>
      <c r="E7" s="28">
        <v>25</v>
      </c>
      <c r="F7" s="29"/>
    </row>
    <row r="8" spans="1:6" ht="23.25" customHeight="1" x14ac:dyDescent="0.3">
      <c r="B8" s="26" t="s">
        <v>51</v>
      </c>
      <c r="C8" s="27" t="s">
        <v>52</v>
      </c>
      <c r="D8" s="28">
        <v>60</v>
      </c>
      <c r="E8" s="28">
        <v>90</v>
      </c>
      <c r="F8" s="29"/>
    </row>
    <row r="9" spans="1:6" ht="15" customHeight="1" x14ac:dyDescent="0.3">
      <c r="B9" s="26" t="s">
        <v>53</v>
      </c>
      <c r="C9" s="27" t="s">
        <v>54</v>
      </c>
      <c r="D9" s="28">
        <v>50</v>
      </c>
      <c r="E9" s="28">
        <v>80</v>
      </c>
      <c r="F9" s="29" t="s">
        <v>55</v>
      </c>
    </row>
    <row r="10" spans="1:6" ht="23.25" customHeight="1" x14ac:dyDescent="0.3">
      <c r="B10" s="26" t="s">
        <v>56</v>
      </c>
      <c r="C10" s="27" t="s">
        <v>57</v>
      </c>
      <c r="D10" s="28">
        <v>20</v>
      </c>
      <c r="E10" s="28">
        <v>35</v>
      </c>
      <c r="F10" s="29"/>
    </row>
    <row r="11" spans="1:6" ht="15" customHeight="1" x14ac:dyDescent="0.3">
      <c r="B11" s="26" t="s">
        <v>58</v>
      </c>
      <c r="C11" s="27" t="s">
        <v>59</v>
      </c>
      <c r="D11" s="28">
        <v>15</v>
      </c>
      <c r="E11" s="28">
        <v>25</v>
      </c>
      <c r="F11" s="29"/>
    </row>
    <row r="12" spans="1:6" ht="15" customHeight="1" x14ac:dyDescent="0.3">
      <c r="B12" s="26" t="s">
        <v>60</v>
      </c>
      <c r="C12" s="27" t="s">
        <v>61</v>
      </c>
      <c r="D12" s="28">
        <v>20</v>
      </c>
      <c r="E12" s="28">
        <v>30</v>
      </c>
      <c r="F12" s="29"/>
    </row>
    <row r="13" spans="1:6" ht="15" customHeight="1" x14ac:dyDescent="0.3">
      <c r="B13" s="30" t="s">
        <v>62</v>
      </c>
      <c r="C13" s="31"/>
      <c r="D13" s="32">
        <f>SUM(D7:D12)</f>
        <v>180</v>
      </c>
      <c r="E13" s="32">
        <f>SUM(E7:E12)</f>
        <v>285</v>
      </c>
      <c r="F13" s="31"/>
    </row>
    <row r="14" spans="1:6" ht="15" customHeight="1" x14ac:dyDescent="0.3">
      <c r="B14" s="30" t="s">
        <v>63</v>
      </c>
      <c r="C14" s="31"/>
      <c r="D14" s="33">
        <f>D13/100</f>
        <v>1.8</v>
      </c>
      <c r="E14" s="33">
        <f>E13/100</f>
        <v>2.85</v>
      </c>
      <c r="F14" s="31"/>
    </row>
    <row r="16" spans="1:6" ht="15" customHeight="1" x14ac:dyDescent="0.3">
      <c r="B16" s="5" t="s">
        <v>64</v>
      </c>
      <c r="C16" s="5"/>
      <c r="D16" s="5"/>
      <c r="E16" s="5"/>
      <c r="F16" s="5"/>
    </row>
    <row r="17" spans="2:6" ht="15" customHeight="1" x14ac:dyDescent="0.3">
      <c r="B17" s="5"/>
      <c r="C17" s="5"/>
      <c r="D17" s="5"/>
      <c r="E17" s="5"/>
      <c r="F17" s="5"/>
    </row>
    <row r="18" spans="2:6" ht="15" customHeight="1" x14ac:dyDescent="0.3">
      <c r="B18" s="5"/>
      <c r="C18" s="5"/>
      <c r="D18" s="5"/>
      <c r="E18" s="5"/>
      <c r="F18" s="5"/>
    </row>
  </sheetData>
  <mergeCells count="3">
    <mergeCell ref="A1:F1"/>
    <mergeCell ref="B3:F4"/>
    <mergeCell ref="B16:F18"/>
  </mergeCells>
  <pageMargins left="0.75" right="0.75" top="1" bottom="1" header="0.511811023622047" footer="0.511811023622047"/>
  <pageSetup paperSize="9" scale="98"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0"/>
  <sheetViews>
    <sheetView showGridLines="0" zoomScaleNormal="100" workbookViewId="0">
      <selection activeCell="E1" sqref="E1:E1048576"/>
    </sheetView>
  </sheetViews>
  <sheetFormatPr defaultColWidth="8.6640625" defaultRowHeight="14.4" x14ac:dyDescent="0.3"/>
  <cols>
    <col min="1" max="1" width="3" customWidth="1"/>
    <col min="2" max="2" width="40" customWidth="1"/>
    <col min="3" max="3" width="16" customWidth="1"/>
    <col min="4" max="4" width="40" customWidth="1"/>
  </cols>
  <sheetData>
    <row r="1" spans="1:4" ht="25.5" customHeight="1" x14ac:dyDescent="0.3">
      <c r="B1" s="13" t="s">
        <v>65</v>
      </c>
      <c r="C1" s="13"/>
      <c r="D1" s="13"/>
    </row>
    <row r="3" spans="1:4" ht="15.75" customHeight="1" x14ac:dyDescent="0.3">
      <c r="A3" s="11" t="s">
        <v>66</v>
      </c>
      <c r="B3" s="11"/>
      <c r="C3" s="11"/>
    </row>
    <row r="4" spans="1:4" ht="30" customHeight="1" x14ac:dyDescent="0.3">
      <c r="B4" s="18" t="s">
        <v>67</v>
      </c>
      <c r="C4" s="18" t="s">
        <v>68</v>
      </c>
    </row>
    <row r="5" spans="1:4" ht="15" customHeight="1" x14ac:dyDescent="0.3">
      <c r="B5" s="34" t="s">
        <v>69</v>
      </c>
      <c r="C5" s="35">
        <v>1000000</v>
      </c>
    </row>
    <row r="6" spans="1:4" ht="15" customHeight="1" x14ac:dyDescent="0.3">
      <c r="B6" s="34" t="s">
        <v>70</v>
      </c>
      <c r="C6" s="36">
        <v>0.2</v>
      </c>
    </row>
    <row r="7" spans="1:4" ht="15" customHeight="1" x14ac:dyDescent="0.3">
      <c r="B7" s="34" t="s">
        <v>71</v>
      </c>
      <c r="C7" s="36">
        <v>0.3</v>
      </c>
    </row>
    <row r="8" spans="1:4" ht="15" customHeight="1" x14ac:dyDescent="0.3">
      <c r="B8" s="34" t="s">
        <v>72</v>
      </c>
      <c r="C8" s="36">
        <v>0.42</v>
      </c>
    </row>
    <row r="9" spans="1:4" ht="15" customHeight="1" x14ac:dyDescent="0.3">
      <c r="B9" s="34" t="s">
        <v>73</v>
      </c>
      <c r="C9" s="36">
        <v>0.4</v>
      </c>
    </row>
    <row r="10" spans="1:4" ht="15" customHeight="1" x14ac:dyDescent="0.3">
      <c r="B10" s="34" t="s">
        <v>74</v>
      </c>
      <c r="C10" s="36">
        <v>0.6</v>
      </c>
    </row>
    <row r="11" spans="1:4" ht="15" customHeight="1" x14ac:dyDescent="0.3">
      <c r="B11" s="34" t="s">
        <v>75</v>
      </c>
      <c r="C11" s="36">
        <v>0.83</v>
      </c>
    </row>
    <row r="13" spans="1:4" ht="15.75" customHeight="1" x14ac:dyDescent="0.3">
      <c r="A13" s="11" t="s">
        <v>76</v>
      </c>
      <c r="B13" s="11"/>
      <c r="C13" s="11"/>
    </row>
    <row r="14" spans="1:4" ht="30" customHeight="1" x14ac:dyDescent="0.3">
      <c r="B14" s="18" t="s">
        <v>67</v>
      </c>
      <c r="C14" s="18" t="s">
        <v>68</v>
      </c>
    </row>
    <row r="15" spans="1:4" ht="15" customHeight="1" x14ac:dyDescent="0.3">
      <c r="B15" s="34" t="s">
        <v>77</v>
      </c>
      <c r="C15" s="37">
        <v>120000</v>
      </c>
    </row>
    <row r="16" spans="1:4" ht="15" customHeight="1" x14ac:dyDescent="0.3">
      <c r="B16" s="34" t="s">
        <v>78</v>
      </c>
      <c r="C16" s="35">
        <v>30</v>
      </c>
    </row>
    <row r="17" spans="1:3" ht="15" customHeight="1" x14ac:dyDescent="0.3">
      <c r="B17" s="34" t="s">
        <v>79</v>
      </c>
      <c r="C17" s="38">
        <v>0.18</v>
      </c>
    </row>
    <row r="18" spans="1:3" ht="15" customHeight="1" x14ac:dyDescent="0.3">
      <c r="B18" s="34" t="s">
        <v>80</v>
      </c>
      <c r="C18" s="38">
        <v>0.1</v>
      </c>
    </row>
    <row r="19" spans="1:3" ht="15" customHeight="1" x14ac:dyDescent="0.3">
      <c r="B19" s="34" t="s">
        <v>81</v>
      </c>
      <c r="C19" s="38">
        <v>0.02</v>
      </c>
    </row>
    <row r="20" spans="1:3" ht="15" customHeight="1" x14ac:dyDescent="0.3">
      <c r="B20" s="34" t="s">
        <v>82</v>
      </c>
      <c r="C20" s="37">
        <v>1500</v>
      </c>
    </row>
    <row r="22" spans="1:3" ht="15.75" customHeight="1" x14ac:dyDescent="0.3">
      <c r="A22" s="11" t="s">
        <v>83</v>
      </c>
      <c r="B22" s="11"/>
      <c r="C22" s="11"/>
    </row>
    <row r="23" spans="1:3" ht="30" customHeight="1" x14ac:dyDescent="0.3">
      <c r="B23" s="18" t="s">
        <v>67</v>
      </c>
      <c r="C23" s="18" t="s">
        <v>68</v>
      </c>
    </row>
    <row r="24" spans="1:3" ht="15" customHeight="1" x14ac:dyDescent="0.3">
      <c r="B24" s="34" t="s">
        <v>84</v>
      </c>
      <c r="C24" s="38">
        <v>0.03</v>
      </c>
    </row>
    <row r="25" spans="1:3" ht="15" customHeight="1" x14ac:dyDescent="0.3">
      <c r="B25" s="34" t="s">
        <v>85</v>
      </c>
      <c r="C25" s="38">
        <v>0.06</v>
      </c>
    </row>
    <row r="26" spans="1:3" ht="15" customHeight="1" x14ac:dyDescent="0.3">
      <c r="B26" s="34" t="s">
        <v>86</v>
      </c>
      <c r="C26" s="38">
        <v>1.4999999999999999E-2</v>
      </c>
    </row>
    <row r="27" spans="1:3" ht="15" customHeight="1" x14ac:dyDescent="0.3">
      <c r="B27" s="34" t="s">
        <v>87</v>
      </c>
      <c r="C27" s="36">
        <v>0.25</v>
      </c>
    </row>
    <row r="28" spans="1:3" ht="15" customHeight="1" x14ac:dyDescent="0.3">
      <c r="B28" s="34" t="s">
        <v>88</v>
      </c>
      <c r="C28" s="36">
        <v>0.1</v>
      </c>
    </row>
    <row r="29" spans="1:3" ht="15" customHeight="1" x14ac:dyDescent="0.3">
      <c r="B29" s="34" t="s">
        <v>89</v>
      </c>
      <c r="C29" s="36">
        <v>0.35</v>
      </c>
    </row>
    <row r="31" spans="1:3" ht="15.75" customHeight="1" x14ac:dyDescent="0.3">
      <c r="A31" s="11" t="s">
        <v>90</v>
      </c>
      <c r="B31" s="11"/>
      <c r="C31" s="11"/>
    </row>
    <row r="32" spans="1:3" ht="30" customHeight="1" x14ac:dyDescent="0.3">
      <c r="B32" s="18" t="s">
        <v>67</v>
      </c>
      <c r="C32" s="18" t="s">
        <v>68</v>
      </c>
    </row>
    <row r="33" spans="1:4" ht="15" customHeight="1" x14ac:dyDescent="0.3">
      <c r="B33" s="34" t="s">
        <v>91</v>
      </c>
      <c r="C33" s="36">
        <v>1.5</v>
      </c>
    </row>
    <row r="34" spans="1:4" ht="15" customHeight="1" x14ac:dyDescent="0.3">
      <c r="B34" s="34" t="s">
        <v>92</v>
      </c>
      <c r="C34" s="36">
        <v>1.33</v>
      </c>
    </row>
    <row r="35" spans="1:4" ht="15" customHeight="1" x14ac:dyDescent="0.3">
      <c r="B35" s="34" t="s">
        <v>93</v>
      </c>
      <c r="C35" s="36">
        <v>0.45</v>
      </c>
    </row>
    <row r="36" spans="1:4" ht="15" customHeight="1" x14ac:dyDescent="0.3">
      <c r="B36" s="34" t="s">
        <v>94</v>
      </c>
      <c r="C36" s="39">
        <v>2</v>
      </c>
    </row>
    <row r="37" spans="1:4" ht="15" customHeight="1" x14ac:dyDescent="0.3">
      <c r="B37" s="34" t="s">
        <v>95</v>
      </c>
      <c r="C37" s="39">
        <v>2.5</v>
      </c>
    </row>
    <row r="38" spans="1:4" ht="15" customHeight="1" x14ac:dyDescent="0.3">
      <c r="B38" s="34" t="s">
        <v>96</v>
      </c>
      <c r="C38" s="39">
        <v>3</v>
      </c>
    </row>
    <row r="39" spans="1:4" ht="15" customHeight="1" x14ac:dyDescent="0.3">
      <c r="B39" s="34" t="s">
        <v>97</v>
      </c>
      <c r="C39" s="36">
        <v>0.25</v>
      </c>
    </row>
    <row r="42" spans="1:4" ht="15.75" customHeight="1" x14ac:dyDescent="0.3">
      <c r="A42" s="11" t="s">
        <v>98</v>
      </c>
      <c r="B42" s="11"/>
      <c r="C42" s="11"/>
      <c r="D42" s="17"/>
    </row>
    <row r="43" spans="1:4" ht="30" customHeight="1" x14ac:dyDescent="0.3">
      <c r="B43" s="18" t="s">
        <v>67</v>
      </c>
      <c r="C43" s="18" t="s">
        <v>68</v>
      </c>
    </row>
    <row r="44" spans="1:4" ht="15" customHeight="1" x14ac:dyDescent="0.3">
      <c r="B44" s="34" t="s">
        <v>99</v>
      </c>
      <c r="C44" s="39">
        <f>'Implementation Budget'!C12</f>
        <v>8.2999999999999989</v>
      </c>
    </row>
    <row r="45" spans="1:4" ht="15" customHeight="1" x14ac:dyDescent="0.3">
      <c r="B45" s="34" t="s">
        <v>100</v>
      </c>
      <c r="C45" s="38">
        <v>0.15</v>
      </c>
    </row>
    <row r="46" spans="1:4" ht="15" customHeight="1" x14ac:dyDescent="0.3">
      <c r="B46" s="34" t="s">
        <v>101</v>
      </c>
      <c r="C46" s="38">
        <v>0.15</v>
      </c>
    </row>
    <row r="47" spans="1:4" ht="15" customHeight="1" x14ac:dyDescent="0.3">
      <c r="B47" s="34" t="s">
        <v>102</v>
      </c>
      <c r="C47" s="37">
        <v>500</v>
      </c>
    </row>
    <row r="48" spans="1:4" ht="15" customHeight="1" x14ac:dyDescent="0.3">
      <c r="B48" s="34" t="s">
        <v>103</v>
      </c>
      <c r="C48" s="38">
        <v>0.05</v>
      </c>
    </row>
    <row r="50" spans="2:4" ht="21.75" customHeight="1" x14ac:dyDescent="0.3">
      <c r="B50" s="7" t="s">
        <v>104</v>
      </c>
      <c r="C50" s="7"/>
      <c r="D50" s="7"/>
    </row>
  </sheetData>
  <mergeCells count="6">
    <mergeCell ref="A42:C42"/>
    <mergeCell ref="B50:D50"/>
    <mergeCell ref="A3:C3"/>
    <mergeCell ref="A13:C13"/>
    <mergeCell ref="A22:C22"/>
    <mergeCell ref="A31:C31"/>
  </mergeCells>
  <pageMargins left="0.75" right="0.75" top="1" bottom="1" header="0.511811023622047" footer="0.511811023622047"/>
  <pageSetup paperSize="9" scale="82"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18"/>
  <sheetViews>
    <sheetView zoomScaleNormal="100" workbookViewId="0">
      <selection activeCell="B15" sqref="B15:D15"/>
    </sheetView>
  </sheetViews>
  <sheetFormatPr defaultColWidth="8.6640625" defaultRowHeight="14.4" x14ac:dyDescent="0.3"/>
  <cols>
    <col min="1" max="1" width="3" customWidth="1"/>
    <col min="2" max="2" width="37.5546875" customWidth="1"/>
    <col min="3" max="4" width="16" customWidth="1"/>
    <col min="5" max="5" width="30" customWidth="1"/>
  </cols>
  <sheetData>
    <row r="1" spans="2:5" ht="25.5" customHeight="1" x14ac:dyDescent="0.3">
      <c r="B1" s="13" t="s">
        <v>105</v>
      </c>
      <c r="C1" s="13"/>
      <c r="D1" s="13"/>
      <c r="E1" s="13"/>
    </row>
    <row r="3" spans="2:5" ht="30" customHeight="1" x14ac:dyDescent="0.3">
      <c r="B3" s="18" t="s">
        <v>106</v>
      </c>
      <c r="C3" s="18" t="s">
        <v>107</v>
      </c>
      <c r="D3" s="18" t="s">
        <v>108</v>
      </c>
      <c r="E3" s="18" t="s">
        <v>109</v>
      </c>
    </row>
    <row r="4" spans="2:5" ht="15" customHeight="1" x14ac:dyDescent="0.3">
      <c r="B4" s="20" t="s">
        <v>69</v>
      </c>
      <c r="C4" s="40">
        <f>Assumptions!$C$5</f>
        <v>1000000</v>
      </c>
      <c r="D4" s="19"/>
      <c r="E4" s="19"/>
    </row>
    <row r="5" spans="2:5" ht="15" customHeight="1" x14ac:dyDescent="0.3">
      <c r="B5" s="41" t="s">
        <v>110</v>
      </c>
      <c r="C5" s="42">
        <f>C4*Assumptions!$C$6</f>
        <v>200000</v>
      </c>
      <c r="D5" s="43">
        <f t="shared" ref="D5:D10" si="0">C5/C4</f>
        <v>0.2</v>
      </c>
      <c r="E5" s="44" t="s">
        <v>70</v>
      </c>
    </row>
    <row r="6" spans="2:5" ht="15" customHeight="1" x14ac:dyDescent="0.3">
      <c r="B6" s="34" t="s">
        <v>111</v>
      </c>
      <c r="C6" s="45">
        <f>C5*Assumptions!$C$7</f>
        <v>60000</v>
      </c>
      <c r="D6" s="46">
        <f t="shared" si="0"/>
        <v>0.3</v>
      </c>
      <c r="E6" s="47" t="s">
        <v>112</v>
      </c>
    </row>
    <row r="7" spans="2:5" ht="15" customHeight="1" x14ac:dyDescent="0.3">
      <c r="B7" s="41" t="s">
        <v>113</v>
      </c>
      <c r="C7" s="42">
        <f>C6*Assumptions!$C$8</f>
        <v>25200</v>
      </c>
      <c r="D7" s="43">
        <f t="shared" si="0"/>
        <v>0.42</v>
      </c>
      <c r="E7" s="44" t="s">
        <v>114</v>
      </c>
    </row>
    <row r="8" spans="2:5" ht="15" customHeight="1" x14ac:dyDescent="0.3">
      <c r="B8" s="34" t="s">
        <v>115</v>
      </c>
      <c r="C8" s="45">
        <f>C7*Assumptions!$C$9</f>
        <v>10080</v>
      </c>
      <c r="D8" s="46">
        <f t="shared" si="0"/>
        <v>0.4</v>
      </c>
      <c r="E8" s="47" t="s">
        <v>116</v>
      </c>
    </row>
    <row r="9" spans="2:5" ht="15" customHeight="1" x14ac:dyDescent="0.3">
      <c r="B9" s="41" t="s">
        <v>117</v>
      </c>
      <c r="C9" s="42">
        <f>C8*Assumptions!$C$10</f>
        <v>6048</v>
      </c>
      <c r="D9" s="43">
        <f t="shared" si="0"/>
        <v>0.6</v>
      </c>
      <c r="E9" s="44" t="s">
        <v>118</v>
      </c>
    </row>
    <row r="10" spans="2:5" ht="15" customHeight="1" x14ac:dyDescent="0.3">
      <c r="B10" s="20" t="s">
        <v>119</v>
      </c>
      <c r="C10" s="45">
        <f>C9*Assumptions!$C$11</f>
        <v>5019.84</v>
      </c>
      <c r="D10" s="46">
        <f t="shared" si="0"/>
        <v>0.83000000000000007</v>
      </c>
      <c r="E10" s="47" t="s">
        <v>120</v>
      </c>
    </row>
    <row r="13" spans="2:5" ht="21.75" customHeight="1" x14ac:dyDescent="0.3">
      <c r="B13" s="7" t="s">
        <v>121</v>
      </c>
      <c r="C13" s="7"/>
      <c r="D13" s="7"/>
      <c r="E13" s="7"/>
    </row>
    <row r="15" spans="2:5" ht="15.75" customHeight="1" x14ac:dyDescent="0.3">
      <c r="B15" s="17" t="s">
        <v>122</v>
      </c>
      <c r="C15" s="17"/>
      <c r="D15" s="17"/>
    </row>
    <row r="16" spans="2:5" ht="15" customHeight="1" x14ac:dyDescent="0.3">
      <c r="B16" s="20" t="s">
        <v>123</v>
      </c>
      <c r="C16" s="40">
        <f>C10</f>
        <v>5019.84</v>
      </c>
    </row>
    <row r="17" spans="2:3" ht="15" customHeight="1" x14ac:dyDescent="0.3">
      <c r="B17" s="34" t="s">
        <v>124</v>
      </c>
      <c r="C17" s="40">
        <f>Assumptions!$C$15</f>
        <v>120000</v>
      </c>
    </row>
    <row r="18" spans="2:3" ht="15" customHeight="1" x14ac:dyDescent="0.3">
      <c r="B18" s="20" t="s">
        <v>125</v>
      </c>
      <c r="C18" s="48">
        <f>C16*C17/10000000</f>
        <v>60.238079999999997</v>
      </c>
    </row>
  </sheetData>
  <mergeCells count="1">
    <mergeCell ref="B13:E13"/>
  </mergeCells>
  <pageMargins left="0.75" right="0.75" top="1" bottom="1" header="0.511811023622047" footer="0.511811023622047"/>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13"/>
  <sheetViews>
    <sheetView zoomScaleNormal="100" workbookViewId="0">
      <selection activeCell="B13" sqref="B13:D13"/>
    </sheetView>
  </sheetViews>
  <sheetFormatPr defaultColWidth="8.6640625" defaultRowHeight="14.4" x14ac:dyDescent="0.3"/>
  <cols>
    <col min="1" max="1" width="3" customWidth="1"/>
    <col min="2" max="2" width="40" customWidth="1"/>
    <col min="3" max="3" width="18" customWidth="1"/>
    <col min="4" max="4" width="45.44140625" bestFit="1" customWidth="1"/>
  </cols>
  <sheetData>
    <row r="1" spans="2:4" ht="25.5" customHeight="1" x14ac:dyDescent="0.3">
      <c r="B1" s="13" t="s">
        <v>126</v>
      </c>
      <c r="C1" s="13"/>
      <c r="D1" s="13"/>
    </row>
    <row r="3" spans="2:4" ht="30" customHeight="1" x14ac:dyDescent="0.3">
      <c r="B3" s="18" t="s">
        <v>127</v>
      </c>
      <c r="C3" s="18" t="s">
        <v>68</v>
      </c>
      <c r="D3" s="18" t="s">
        <v>128</v>
      </c>
    </row>
    <row r="4" spans="2:4" ht="15" customHeight="1" x14ac:dyDescent="0.3">
      <c r="B4" s="34" t="s">
        <v>129</v>
      </c>
      <c r="C4" s="40">
        <f>Assumptions!$C$15</f>
        <v>120000</v>
      </c>
      <c r="D4" s="47" t="s">
        <v>130</v>
      </c>
    </row>
    <row r="5" spans="2:4" ht="15" customHeight="1" x14ac:dyDescent="0.3">
      <c r="B5" s="34" t="s">
        <v>131</v>
      </c>
      <c r="C5" s="45">
        <f>C4*0.5</f>
        <v>60000</v>
      </c>
      <c r="D5" s="47" t="s">
        <v>132</v>
      </c>
    </row>
    <row r="6" spans="2:4" ht="15" customHeight="1" x14ac:dyDescent="0.3">
      <c r="B6" s="34" t="s">
        <v>133</v>
      </c>
      <c r="C6" s="45">
        <f>C5*(Assumptions!$C$17-Assumptions!$C$18)</f>
        <v>4799.9999999999991</v>
      </c>
      <c r="D6" s="47" t="s">
        <v>134</v>
      </c>
    </row>
    <row r="7" spans="2:4" ht="15" customHeight="1" x14ac:dyDescent="0.3">
      <c r="B7" s="34" t="s">
        <v>135</v>
      </c>
      <c r="C7" s="45">
        <f>C4*Assumptions!$C$19</f>
        <v>2400</v>
      </c>
      <c r="D7" s="47" t="s">
        <v>136</v>
      </c>
    </row>
    <row r="8" spans="2:4" ht="15" customHeight="1" x14ac:dyDescent="0.3">
      <c r="B8" s="34" t="s">
        <v>137</v>
      </c>
      <c r="C8" s="45">
        <f>C5*Assumptions!$C$24</f>
        <v>1800</v>
      </c>
      <c r="D8" s="47" t="s">
        <v>138</v>
      </c>
    </row>
    <row r="9" spans="2:4" ht="15" customHeight="1" x14ac:dyDescent="0.3">
      <c r="B9" s="34" t="s">
        <v>139</v>
      </c>
      <c r="C9" s="40">
        <f>Assumptions!$C$20</f>
        <v>1500</v>
      </c>
      <c r="D9" s="47" t="s">
        <v>130</v>
      </c>
    </row>
    <row r="10" spans="2:4" ht="15" customHeight="1" x14ac:dyDescent="0.3">
      <c r="B10" s="19"/>
      <c r="C10" s="19"/>
      <c r="D10" s="19"/>
    </row>
    <row r="11" spans="2:4" ht="15" customHeight="1" x14ac:dyDescent="0.3">
      <c r="B11" s="20" t="s">
        <v>140</v>
      </c>
      <c r="C11" s="42">
        <f>C6+C7-C8-C9</f>
        <v>3899.9999999999991</v>
      </c>
      <c r="D11" s="19"/>
    </row>
    <row r="13" spans="2:4" ht="39" customHeight="1" x14ac:dyDescent="0.3">
      <c r="B13" s="7" t="s">
        <v>141</v>
      </c>
      <c r="C13" s="7"/>
      <c r="D13" s="7"/>
    </row>
  </sheetData>
  <mergeCells count="1">
    <mergeCell ref="B13:D13"/>
  </mergeCells>
  <pageMargins left="0.75" right="0.75" top="1" bottom="1" header="0.511811023622047" footer="0.511811023622047"/>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F23"/>
  <sheetViews>
    <sheetView showGridLines="0" zoomScaleNormal="100" workbookViewId="0">
      <selection activeCell="B1" sqref="B1:F1"/>
    </sheetView>
  </sheetViews>
  <sheetFormatPr defaultColWidth="8.6640625" defaultRowHeight="14.4" x14ac:dyDescent="0.3"/>
  <cols>
    <col min="1" max="1" width="3" customWidth="1"/>
    <col min="2" max="2" width="34" customWidth="1"/>
    <col min="3" max="5" width="16" customWidth="1"/>
    <col min="6" max="6" width="55.5546875" bestFit="1" customWidth="1"/>
  </cols>
  <sheetData>
    <row r="1" spans="2:6" ht="25.5" customHeight="1" x14ac:dyDescent="0.3">
      <c r="B1" s="13" t="s">
        <v>142</v>
      </c>
      <c r="C1" s="13"/>
      <c r="D1" s="13"/>
      <c r="E1" s="13"/>
      <c r="F1" s="13"/>
    </row>
    <row r="3" spans="2:6" ht="30" customHeight="1" x14ac:dyDescent="0.3">
      <c r="B3" s="18" t="s">
        <v>143</v>
      </c>
      <c r="C3" s="18" t="s">
        <v>144</v>
      </c>
      <c r="D3" s="18" t="s">
        <v>145</v>
      </c>
      <c r="E3" s="18" t="s">
        <v>146</v>
      </c>
      <c r="F3" s="18" t="s">
        <v>147</v>
      </c>
    </row>
    <row r="4" spans="2:6" ht="15" customHeight="1" x14ac:dyDescent="0.3">
      <c r="B4" s="20" t="s">
        <v>148</v>
      </c>
      <c r="C4" s="48">
        <f>'Acquisition Funnel'!$C$18</f>
        <v>60.238079999999997</v>
      </c>
      <c r="D4" s="48">
        <f>C4*(1+Assumptions!$C$33)</f>
        <v>150.59519999999998</v>
      </c>
      <c r="E4" s="48">
        <f>D4*(1+Assumptions!$C$34)</f>
        <v>350.88681599999995</v>
      </c>
      <c r="F4" s="47" t="s">
        <v>149</v>
      </c>
    </row>
    <row r="5" spans="2:6" ht="15" customHeight="1" x14ac:dyDescent="0.3">
      <c r="B5" s="20" t="s">
        <v>150</v>
      </c>
      <c r="C5" s="48">
        <f>0.5*C4</f>
        <v>30.119039999999998</v>
      </c>
      <c r="D5" s="48">
        <f>C5*(1-Assumptions!$C$35)+0.5*D4</f>
        <v>91.863071999999988</v>
      </c>
      <c r="E5" s="48">
        <f>D5*(1-Assumptions!$C$35)+0.5*E4</f>
        <v>225.96809759999996</v>
      </c>
      <c r="F5" s="47" t="s">
        <v>151</v>
      </c>
    </row>
    <row r="6" spans="2:6" ht="15" customHeight="1" x14ac:dyDescent="0.3">
      <c r="B6" s="19"/>
      <c r="C6" s="19"/>
      <c r="D6" s="19"/>
      <c r="E6" s="19"/>
      <c r="F6" s="19"/>
    </row>
    <row r="7" spans="2:6" ht="15" customHeight="1" x14ac:dyDescent="0.3">
      <c r="B7" s="34" t="s">
        <v>152</v>
      </c>
      <c r="C7" s="48">
        <f>C5*Assumptions!$C$17</f>
        <v>5.4214271999999992</v>
      </c>
      <c r="D7" s="48">
        <f>D5*Assumptions!$C$17</f>
        <v>16.535352959999997</v>
      </c>
      <c r="E7" s="48">
        <f>E5*Assumptions!$C$17</f>
        <v>40.674257567999994</v>
      </c>
      <c r="F7" s="47" t="s">
        <v>153</v>
      </c>
    </row>
    <row r="8" spans="2:6" ht="15" customHeight="1" x14ac:dyDescent="0.3">
      <c r="B8" s="34" t="s">
        <v>154</v>
      </c>
      <c r="C8" s="48">
        <f>C5*Assumptions!$C$18</f>
        <v>3.0119039999999999</v>
      </c>
      <c r="D8" s="48">
        <f>D5*Assumptions!$C$18</f>
        <v>9.1863071999999999</v>
      </c>
      <c r="E8" s="48">
        <f>E5*Assumptions!$C$18</f>
        <v>22.596809759999999</v>
      </c>
      <c r="F8" s="47" t="s">
        <v>155</v>
      </c>
    </row>
    <row r="9" spans="2:6" ht="15" customHeight="1" x14ac:dyDescent="0.3">
      <c r="B9" s="20" t="s">
        <v>156</v>
      </c>
      <c r="C9" s="49">
        <f>C7-C8</f>
        <v>2.4095231999999993</v>
      </c>
      <c r="D9" s="49">
        <f>D7-D8</f>
        <v>7.3490457599999974</v>
      </c>
      <c r="E9" s="49">
        <f>E7-E8</f>
        <v>18.077447807999995</v>
      </c>
      <c r="F9" s="47" t="s">
        <v>157</v>
      </c>
    </row>
    <row r="10" spans="2:6" ht="15" customHeight="1" x14ac:dyDescent="0.3">
      <c r="B10" s="34" t="s">
        <v>158</v>
      </c>
      <c r="C10" s="48">
        <f>C4*Assumptions!$C$19</f>
        <v>1.2047615999999999</v>
      </c>
      <c r="D10" s="48">
        <f>D4*Assumptions!$C$19</f>
        <v>3.0119039999999995</v>
      </c>
      <c r="E10" s="48">
        <f>E4*Assumptions!$C$19</f>
        <v>7.0177363199999991</v>
      </c>
      <c r="F10" s="47" t="s">
        <v>159</v>
      </c>
    </row>
    <row r="11" spans="2:6" ht="15" customHeight="1" x14ac:dyDescent="0.3">
      <c r="B11" s="20" t="s">
        <v>160</v>
      </c>
      <c r="C11" s="49">
        <f>C9+C10</f>
        <v>3.6142847999999992</v>
      </c>
      <c r="D11" s="49">
        <f>D9+D10</f>
        <v>10.360949759999997</v>
      </c>
      <c r="E11" s="49">
        <f>E9+E10</f>
        <v>25.095184127999993</v>
      </c>
      <c r="F11" s="47" t="s">
        <v>161</v>
      </c>
    </row>
    <row r="12" spans="2:6" ht="15" customHeight="1" x14ac:dyDescent="0.3">
      <c r="B12" s="19"/>
      <c r="C12" s="19"/>
      <c r="D12" s="19"/>
      <c r="E12" s="19"/>
      <c r="F12" s="19"/>
    </row>
    <row r="13" spans="2:6" ht="15" customHeight="1" x14ac:dyDescent="0.3">
      <c r="B13" s="34" t="s">
        <v>162</v>
      </c>
      <c r="C13" s="48">
        <f>'Acquisition Funnel'!$C$16*Assumptions!$C$20/10000000</f>
        <v>0.75297599999999998</v>
      </c>
      <c r="D13" s="48">
        <f>C13*(1+Assumptions!$C$33)</f>
        <v>1.8824399999999999</v>
      </c>
      <c r="E13" s="48">
        <f>D13*(1+Assumptions!$C$34)</f>
        <v>4.3860852000000001</v>
      </c>
      <c r="F13" s="47" t="s">
        <v>163</v>
      </c>
    </row>
    <row r="14" spans="2:6" ht="15" customHeight="1" x14ac:dyDescent="0.3">
      <c r="B14" s="34" t="s">
        <v>164</v>
      </c>
      <c r="C14" s="48">
        <f>Assumptions!$C$36</f>
        <v>2</v>
      </c>
      <c r="D14" s="48">
        <f>Assumptions!$C$37</f>
        <v>2.5</v>
      </c>
      <c r="E14" s="48">
        <f>Assumptions!$C$38</f>
        <v>3</v>
      </c>
      <c r="F14" s="47" t="s">
        <v>130</v>
      </c>
    </row>
    <row r="15" spans="2:6" ht="15" customHeight="1" x14ac:dyDescent="0.3">
      <c r="B15" s="20" t="s">
        <v>165</v>
      </c>
      <c r="C15" s="49">
        <f>C13+C14</f>
        <v>2.7529759999999999</v>
      </c>
      <c r="D15" s="49">
        <f>D13+D14</f>
        <v>4.3824399999999999</v>
      </c>
      <c r="E15" s="49">
        <f>E13+E14</f>
        <v>7.3860852000000001</v>
      </c>
      <c r="F15" s="47" t="s">
        <v>166</v>
      </c>
    </row>
    <row r="16" spans="2:6" ht="15" customHeight="1" x14ac:dyDescent="0.3">
      <c r="B16" s="34" t="s">
        <v>167</v>
      </c>
      <c r="C16" s="48">
        <f>C5*Assumptions!$C$24</f>
        <v>0.90357119999999991</v>
      </c>
      <c r="D16" s="48">
        <f>D5*Assumptions!$C$24</f>
        <v>2.7558921599999997</v>
      </c>
      <c r="E16" s="48">
        <f>E5*Assumptions!$C$24</f>
        <v>6.7790429279999991</v>
      </c>
      <c r="F16" s="47" t="s">
        <v>168</v>
      </c>
    </row>
    <row r="17" spans="2:6" ht="15" customHeight="1" x14ac:dyDescent="0.3">
      <c r="B17" s="19"/>
      <c r="C17" s="19"/>
      <c r="D17" s="19"/>
      <c r="E17" s="19"/>
      <c r="F17" s="19"/>
    </row>
    <row r="18" spans="2:6" ht="15" customHeight="1" x14ac:dyDescent="0.3">
      <c r="B18" s="20" t="s">
        <v>169</v>
      </c>
      <c r="C18" s="49">
        <f>C11-C15-C16</f>
        <v>-4.2262400000000588E-2</v>
      </c>
      <c r="D18" s="49">
        <f>D11-D15-D16</f>
        <v>3.2226175999999973</v>
      </c>
      <c r="E18" s="49">
        <f>E11-E15-E16</f>
        <v>10.930055999999993</v>
      </c>
      <c r="F18" s="47" t="s">
        <v>170</v>
      </c>
    </row>
    <row r="19" spans="2:6" ht="15" customHeight="1" x14ac:dyDescent="0.3">
      <c r="B19" s="34" t="s">
        <v>171</v>
      </c>
      <c r="C19" s="48">
        <f>MAX(0,C18)*Assumptions!$C$39</f>
        <v>0</v>
      </c>
      <c r="D19" s="48">
        <f>MAX(0,D18)*Assumptions!$C$39</f>
        <v>0.80565439999999933</v>
      </c>
      <c r="E19" s="48">
        <f>MAX(0,E18)*Assumptions!$C$39</f>
        <v>2.7325139999999983</v>
      </c>
      <c r="F19" s="47" t="s">
        <v>172</v>
      </c>
    </row>
    <row r="20" spans="2:6" ht="15" customHeight="1" x14ac:dyDescent="0.3">
      <c r="B20" s="20" t="s">
        <v>173</v>
      </c>
      <c r="C20" s="49">
        <f>C18-C19</f>
        <v>-4.2262400000000588E-2</v>
      </c>
      <c r="D20" s="49">
        <f>D18-D19</f>
        <v>2.4169631999999979</v>
      </c>
      <c r="E20" s="49">
        <f>E18-E19</f>
        <v>8.197541999999995</v>
      </c>
      <c r="F20" s="47" t="s">
        <v>174</v>
      </c>
    </row>
    <row r="23" spans="2:6" ht="21.75" customHeight="1" x14ac:dyDescent="0.3">
      <c r="B23" s="7" t="s">
        <v>175</v>
      </c>
      <c r="C23" s="7"/>
      <c r="D23" s="7"/>
      <c r="E23" s="7"/>
      <c r="F23" s="7"/>
    </row>
  </sheetData>
  <mergeCells count="1">
    <mergeCell ref="B23:F23"/>
  </mergeCells>
  <pageMargins left="0.75" right="0.75" top="1" bottom="1" header="0.511811023622047" footer="0.511811023622047"/>
  <pageSetup paperSize="9" scale="9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F13"/>
  <sheetViews>
    <sheetView showGridLines="0" zoomScaleNormal="100" workbookViewId="0">
      <selection activeCell="B1" sqref="B1:F1"/>
    </sheetView>
  </sheetViews>
  <sheetFormatPr defaultColWidth="8.6640625" defaultRowHeight="14.4" x14ac:dyDescent="0.3"/>
  <cols>
    <col min="1" max="1" width="3" customWidth="1"/>
    <col min="2" max="2" width="30" customWidth="1"/>
    <col min="3" max="5" width="18" customWidth="1"/>
    <col min="6" max="6" width="62.109375" bestFit="1" customWidth="1"/>
  </cols>
  <sheetData>
    <row r="1" spans="2:6" ht="25.5" customHeight="1" x14ac:dyDescent="0.3">
      <c r="B1" s="13" t="s">
        <v>176</v>
      </c>
      <c r="C1" s="13"/>
      <c r="D1" s="13"/>
      <c r="E1" s="13"/>
      <c r="F1" s="13"/>
    </row>
    <row r="3" spans="2:6" ht="30" customHeight="1" x14ac:dyDescent="0.3">
      <c r="B3" s="18" t="s">
        <v>177</v>
      </c>
      <c r="C3" s="18" t="s">
        <v>178</v>
      </c>
      <c r="D3" s="18" t="s">
        <v>179</v>
      </c>
      <c r="E3" s="18" t="s">
        <v>180</v>
      </c>
      <c r="F3" s="18" t="s">
        <v>181</v>
      </c>
    </row>
    <row r="4" spans="2:6" ht="15" customHeight="1" x14ac:dyDescent="0.3">
      <c r="B4" s="34" t="s">
        <v>182</v>
      </c>
      <c r="C4" s="46">
        <f>Assumptions!$C$28</f>
        <v>0.1</v>
      </c>
      <c r="D4" s="46">
        <f>Assumptions!$C$27</f>
        <v>0.25</v>
      </c>
      <c r="E4" s="46">
        <f>Assumptions!$C$29</f>
        <v>0.35</v>
      </c>
      <c r="F4" s="47" t="s">
        <v>183</v>
      </c>
    </row>
    <row r="5" spans="2:6" ht="15" customHeight="1" x14ac:dyDescent="0.3">
      <c r="B5" s="34" t="s">
        <v>184</v>
      </c>
      <c r="C5" s="50">
        <f>Assumptions!$C$25</f>
        <v>0.06</v>
      </c>
      <c r="D5" s="50">
        <f>Assumptions!$C$24</f>
        <v>0.03</v>
      </c>
      <c r="E5" s="50">
        <f>Assumptions!$C$26</f>
        <v>1.4999999999999999E-2</v>
      </c>
      <c r="F5" s="47" t="s">
        <v>183</v>
      </c>
    </row>
    <row r="6" spans="2:6" ht="15" customHeight="1" x14ac:dyDescent="0.3">
      <c r="B6" s="34" t="s">
        <v>185</v>
      </c>
      <c r="C6" s="48">
        <f>'3-Year P&amp;L'!$E$5*C4/Assumptions!$C$27</f>
        <v>90.387239039999997</v>
      </c>
      <c r="D6" s="48">
        <f>'3-Year P&amp;L'!$E$5</f>
        <v>225.96809759999996</v>
      </c>
      <c r="E6" s="48">
        <f>'3-Year P&amp;L'!$E$5*E4/Assumptions!$C$27</f>
        <v>316.3553366399999</v>
      </c>
      <c r="F6" s="47" t="s">
        <v>186</v>
      </c>
    </row>
    <row r="7" spans="2:6" ht="15" customHeight="1" x14ac:dyDescent="0.3">
      <c r="B7" s="34" t="s">
        <v>187</v>
      </c>
      <c r="C7" s="48">
        <f>C6*C5</f>
        <v>5.4232343423999998</v>
      </c>
      <c r="D7" s="48">
        <f>D6*D5</f>
        <v>6.7790429279999991</v>
      </c>
      <c r="E7" s="48">
        <f>E6*E5</f>
        <v>4.7453300495999988</v>
      </c>
      <c r="F7" s="47" t="s">
        <v>188</v>
      </c>
    </row>
    <row r="8" spans="2:6" ht="15" customHeight="1" x14ac:dyDescent="0.3">
      <c r="B8" s="34" t="s">
        <v>189</v>
      </c>
      <c r="C8" s="48">
        <f>'3-Year P&amp;L'!$E$11*C6/'3-Year P&amp;L'!$E$5</f>
        <v>10.0380736512</v>
      </c>
      <c r="D8" s="48">
        <f>'3-Year P&amp;L'!$E$11</f>
        <v>25.095184127999993</v>
      </c>
      <c r="E8" s="48">
        <f>'3-Year P&amp;L'!$E$11*E6/'3-Year P&amp;L'!$E$5</f>
        <v>35.133257779199987</v>
      </c>
      <c r="F8" s="47" t="s">
        <v>190</v>
      </c>
    </row>
    <row r="9" spans="2:6" ht="15" customHeight="1" x14ac:dyDescent="0.3">
      <c r="B9" s="34" t="s">
        <v>191</v>
      </c>
      <c r="C9" s="48">
        <f>'3-Year P&amp;L'!$E$15</f>
        <v>7.3860852000000001</v>
      </c>
      <c r="D9" s="48">
        <f>'3-Year P&amp;L'!$E$15</f>
        <v>7.3860852000000001</v>
      </c>
      <c r="E9" s="48">
        <f>'3-Year P&amp;L'!$E$15</f>
        <v>7.3860852000000001</v>
      </c>
      <c r="F9" s="47" t="s">
        <v>192</v>
      </c>
    </row>
    <row r="10" spans="2:6" ht="15" customHeight="1" x14ac:dyDescent="0.3">
      <c r="B10" s="20" t="s">
        <v>193</v>
      </c>
      <c r="C10" s="49">
        <f>C8-C9-C7</f>
        <v>-2.7712458912000004</v>
      </c>
      <c r="D10" s="49">
        <f>D8-D9-D7</f>
        <v>10.930055999999993</v>
      </c>
      <c r="E10" s="49">
        <f>E8-E9-E7</f>
        <v>23.001842529599987</v>
      </c>
      <c r="F10" s="47" t="s">
        <v>170</v>
      </c>
    </row>
    <row r="13" spans="2:6" ht="32.25" customHeight="1" x14ac:dyDescent="0.3">
      <c r="B13" s="7" t="s">
        <v>194</v>
      </c>
      <c r="C13" s="7"/>
      <c r="D13" s="7"/>
      <c r="E13" s="7"/>
      <c r="F13" s="7"/>
    </row>
  </sheetData>
  <mergeCells count="1">
    <mergeCell ref="B13:F13"/>
  </mergeCells>
  <pageMargins left="0.75" right="0.75" top="1" bottom="1" header="0.511811023622047" footer="0.511811023622047"/>
  <pageSetup paperSize="9" scale="87"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39"/>
  <sheetViews>
    <sheetView showGridLines="0" zoomScaleNormal="100" workbookViewId="0">
      <selection activeCell="F1" sqref="F1:F1048576"/>
    </sheetView>
  </sheetViews>
  <sheetFormatPr defaultColWidth="8.6640625" defaultRowHeight="14.4" x14ac:dyDescent="0.3"/>
  <cols>
    <col min="1" max="1" width="3" customWidth="1"/>
    <col min="2" max="2" width="42" customWidth="1"/>
    <col min="3" max="4" width="16" customWidth="1"/>
    <col min="5" max="5" width="40" customWidth="1"/>
  </cols>
  <sheetData>
    <row r="1" spans="1:5" ht="21.75" customHeight="1" x14ac:dyDescent="0.4">
      <c r="B1" s="51" t="s">
        <v>195</v>
      </c>
      <c r="C1" s="51"/>
      <c r="D1" s="51"/>
      <c r="E1" s="51"/>
    </row>
    <row r="3" spans="1:5" ht="15.75" customHeight="1" x14ac:dyDescent="0.3">
      <c r="A3" s="17" t="s">
        <v>196</v>
      </c>
    </row>
    <row r="4" spans="1:5" ht="25.5" customHeight="1" x14ac:dyDescent="0.3">
      <c r="B4" s="52" t="s">
        <v>197</v>
      </c>
      <c r="C4" s="4" t="s">
        <v>198</v>
      </c>
      <c r="D4" s="4"/>
      <c r="E4" s="4"/>
    </row>
    <row r="5" spans="1:5" ht="25.5" customHeight="1" x14ac:dyDescent="0.3">
      <c r="B5" s="52" t="s">
        <v>199</v>
      </c>
      <c r="C5" s="4" t="s">
        <v>200</v>
      </c>
      <c r="D5" s="4"/>
      <c r="E5" s="4"/>
    </row>
    <row r="6" spans="1:5" ht="25.5" customHeight="1" x14ac:dyDescent="0.3">
      <c r="B6" s="52" t="s">
        <v>201</v>
      </c>
      <c r="C6" s="4" t="s">
        <v>202</v>
      </c>
      <c r="D6" s="4"/>
      <c r="E6" s="4"/>
    </row>
    <row r="7" spans="1:5" ht="25.5" customHeight="1" x14ac:dyDescent="0.3">
      <c r="B7" s="52" t="s">
        <v>203</v>
      </c>
      <c r="C7" s="4" t="s">
        <v>204</v>
      </c>
      <c r="D7" s="4"/>
      <c r="E7" s="4"/>
    </row>
    <row r="8" spans="1:5" ht="25.5" customHeight="1" x14ac:dyDescent="0.3">
      <c r="B8" s="52" t="s">
        <v>205</v>
      </c>
      <c r="C8" s="4" t="s">
        <v>206</v>
      </c>
      <c r="D8" s="4"/>
      <c r="E8" s="4"/>
    </row>
    <row r="10" spans="1:5" ht="15.75" customHeight="1" x14ac:dyDescent="0.3">
      <c r="A10" s="17" t="s">
        <v>207</v>
      </c>
    </row>
    <row r="11" spans="1:5" ht="15" customHeight="1" x14ac:dyDescent="0.3">
      <c r="B11" s="54" t="s">
        <v>208</v>
      </c>
      <c r="C11" s="54" t="s">
        <v>68</v>
      </c>
      <c r="D11" s="3" t="s">
        <v>48</v>
      </c>
      <c r="E11" s="3"/>
    </row>
    <row r="12" spans="1:5" ht="23.25" customHeight="1" x14ac:dyDescent="0.3">
      <c r="B12" s="55" t="s">
        <v>209</v>
      </c>
      <c r="C12" s="56">
        <f>Assumptions!C24</f>
        <v>0.03</v>
      </c>
      <c r="D12" s="4" t="s">
        <v>210</v>
      </c>
      <c r="E12" s="4"/>
    </row>
    <row r="13" spans="1:5" ht="23.25" customHeight="1" x14ac:dyDescent="0.3">
      <c r="B13" s="55" t="s">
        <v>211</v>
      </c>
      <c r="C13" s="57">
        <v>1.4999999999999999E-2</v>
      </c>
      <c r="D13" s="4" t="s">
        <v>212</v>
      </c>
      <c r="E13" s="4"/>
    </row>
    <row r="14" spans="1:5" ht="15" customHeight="1" x14ac:dyDescent="0.3">
      <c r="B14" s="55" t="s">
        <v>213</v>
      </c>
      <c r="C14" s="58">
        <v>0.05</v>
      </c>
      <c r="D14" s="4" t="s">
        <v>214</v>
      </c>
      <c r="E14" s="4"/>
    </row>
    <row r="15" spans="1:5" ht="15" customHeight="1" x14ac:dyDescent="0.3">
      <c r="B15" s="55" t="s">
        <v>215</v>
      </c>
      <c r="C15" s="58">
        <v>0.8</v>
      </c>
      <c r="D15" s="4" t="s">
        <v>216</v>
      </c>
      <c r="E15" s="4"/>
    </row>
    <row r="17" spans="1:5" ht="15" customHeight="1" x14ac:dyDescent="0.3">
      <c r="B17" s="55" t="s">
        <v>217</v>
      </c>
      <c r="C17" s="59">
        <f>C12-C13</f>
        <v>1.4999999999999999E-2</v>
      </c>
      <c r="D17" s="7" t="s">
        <v>218</v>
      </c>
      <c r="E17" s="7"/>
    </row>
    <row r="18" spans="1:5" ht="15" customHeight="1" x14ac:dyDescent="0.3">
      <c r="B18" s="55" t="s">
        <v>219</v>
      </c>
      <c r="C18" s="60">
        <f>NORMSINV(1-C14/2)</f>
        <v>1.9599639845400536</v>
      </c>
    </row>
    <row r="19" spans="1:5" ht="15" customHeight="1" x14ac:dyDescent="0.3">
      <c r="B19" s="55" t="s">
        <v>220</v>
      </c>
      <c r="C19" s="60">
        <f>NORMSINV(C15)</f>
        <v>0.84162123357291474</v>
      </c>
    </row>
    <row r="21" spans="1:5" ht="23.25" customHeight="1" x14ac:dyDescent="0.3">
      <c r="B21" s="61" t="s">
        <v>221</v>
      </c>
      <c r="C21" s="62">
        <f>ROUNDUP(((C18+C19)^2*(C12*(1-C12)+C17*(1-C17)))/(C12-C17)^2,0)</f>
        <v>1531</v>
      </c>
      <c r="D21" s="4" t="s">
        <v>222</v>
      </c>
      <c r="E21" s="4"/>
    </row>
    <row r="22" spans="1:5" ht="21.75" customHeight="1" x14ac:dyDescent="0.3">
      <c r="B22" s="55" t="s">
        <v>223</v>
      </c>
      <c r="C22" s="63">
        <f>C21*2</f>
        <v>3062</v>
      </c>
      <c r="D22" s="7" t="s">
        <v>224</v>
      </c>
      <c r="E22" s="7"/>
    </row>
    <row r="24" spans="1:5" ht="15.75" customHeight="1" x14ac:dyDescent="0.3">
      <c r="A24" s="17" t="s">
        <v>225</v>
      </c>
    </row>
    <row r="25" spans="1:5" ht="15" customHeight="1" x14ac:dyDescent="0.3">
      <c r="B25" s="54" t="s">
        <v>177</v>
      </c>
      <c r="C25" s="54" t="s">
        <v>226</v>
      </c>
      <c r="D25" s="3" t="s">
        <v>227</v>
      </c>
      <c r="E25" s="3"/>
    </row>
    <row r="26" spans="1:5" ht="27.75" customHeight="1" x14ac:dyDescent="0.3">
      <c r="B26" s="53" t="s">
        <v>228</v>
      </c>
      <c r="C26" s="64" t="s">
        <v>229</v>
      </c>
      <c r="D26" s="4" t="s">
        <v>230</v>
      </c>
      <c r="E26" s="4"/>
    </row>
    <row r="27" spans="1:5" ht="27.75" customHeight="1" x14ac:dyDescent="0.3">
      <c r="B27" s="53" t="s">
        <v>231</v>
      </c>
      <c r="C27" s="64" t="s">
        <v>232</v>
      </c>
      <c r="D27" s="4" t="s">
        <v>233</v>
      </c>
      <c r="E27" s="4"/>
    </row>
    <row r="28" spans="1:5" ht="27.75" customHeight="1" x14ac:dyDescent="0.3">
      <c r="B28" s="53" t="s">
        <v>234</v>
      </c>
      <c r="C28" s="64" t="s">
        <v>232</v>
      </c>
      <c r="D28" s="4" t="s">
        <v>235</v>
      </c>
      <c r="E28" s="4"/>
    </row>
    <row r="29" spans="1:5" ht="27.75" customHeight="1" x14ac:dyDescent="0.3">
      <c r="B29" s="53" t="s">
        <v>236</v>
      </c>
      <c r="C29" s="64" t="s">
        <v>232</v>
      </c>
      <c r="D29" s="4" t="s">
        <v>237</v>
      </c>
      <c r="E29" s="4"/>
    </row>
    <row r="30" spans="1:5" ht="27.75" customHeight="1" x14ac:dyDescent="0.3">
      <c r="B30" s="53" t="s">
        <v>238</v>
      </c>
      <c r="C30" s="64" t="s">
        <v>239</v>
      </c>
      <c r="D30" s="4" t="s">
        <v>240</v>
      </c>
      <c r="E30" s="4"/>
    </row>
    <row r="31" spans="1:5" ht="27.75" customHeight="1" x14ac:dyDescent="0.3">
      <c r="B31" s="53" t="s">
        <v>241</v>
      </c>
      <c r="C31" s="64" t="s">
        <v>239</v>
      </c>
      <c r="D31" s="4" t="s">
        <v>242</v>
      </c>
      <c r="E31" s="4"/>
    </row>
    <row r="33" spans="1:5" ht="15.75" customHeight="1" x14ac:dyDescent="0.3">
      <c r="A33" s="17" t="s">
        <v>243</v>
      </c>
    </row>
    <row r="34" spans="1:5" ht="15" customHeight="1" x14ac:dyDescent="0.3">
      <c r="B34" s="54" t="s">
        <v>244</v>
      </c>
      <c r="C34" s="54" t="s">
        <v>245</v>
      </c>
      <c r="D34" s="3" t="s">
        <v>246</v>
      </c>
      <c r="E34" s="3"/>
    </row>
    <row r="35" spans="1:5" ht="27.75" customHeight="1" x14ac:dyDescent="0.3">
      <c r="B35" s="65" t="s">
        <v>247</v>
      </c>
      <c r="C35" s="53" t="s">
        <v>248</v>
      </c>
      <c r="D35" s="4" t="s">
        <v>249</v>
      </c>
      <c r="E35" s="4"/>
    </row>
    <row r="36" spans="1:5" ht="27.75" customHeight="1" x14ac:dyDescent="0.3">
      <c r="B36" s="65" t="s">
        <v>250</v>
      </c>
      <c r="C36" s="53" t="s">
        <v>251</v>
      </c>
      <c r="D36" s="4" t="s">
        <v>252</v>
      </c>
      <c r="E36" s="4"/>
    </row>
    <row r="37" spans="1:5" ht="27.75" customHeight="1" x14ac:dyDescent="0.3">
      <c r="B37" s="65" t="s">
        <v>253</v>
      </c>
      <c r="C37" s="53" t="s">
        <v>254</v>
      </c>
      <c r="D37" s="4" t="s">
        <v>255</v>
      </c>
      <c r="E37" s="4"/>
    </row>
    <row r="39" spans="1:5" ht="31.5" customHeight="1" x14ac:dyDescent="0.3">
      <c r="B39" s="7" t="s">
        <v>256</v>
      </c>
      <c r="C39" s="7"/>
      <c r="D39" s="7"/>
      <c r="E39" s="7"/>
    </row>
  </sheetData>
  <mergeCells count="25">
    <mergeCell ref="B39:E39"/>
    <mergeCell ref="D31:E31"/>
    <mergeCell ref="D34:E34"/>
    <mergeCell ref="D35:E35"/>
    <mergeCell ref="D36:E36"/>
    <mergeCell ref="D37:E37"/>
    <mergeCell ref="D26:E26"/>
    <mergeCell ref="D27:E27"/>
    <mergeCell ref="D28:E28"/>
    <mergeCell ref="D29:E29"/>
    <mergeCell ref="D30:E30"/>
    <mergeCell ref="D15:E15"/>
    <mergeCell ref="D17:E17"/>
    <mergeCell ref="D21:E21"/>
    <mergeCell ref="D22:E22"/>
    <mergeCell ref="D25:E25"/>
    <mergeCell ref="C8:E8"/>
    <mergeCell ref="D11:E11"/>
    <mergeCell ref="D12:E12"/>
    <mergeCell ref="D13:E13"/>
    <mergeCell ref="D14:E14"/>
    <mergeCell ref="C4:E4"/>
    <mergeCell ref="C5:E5"/>
    <mergeCell ref="C6:E6"/>
    <mergeCell ref="C7:E7"/>
  </mergeCells>
  <pageMargins left="0.75" right="0.75" top="1" bottom="1" header="0.511811023622047" footer="0.511811023622047"/>
  <pageSetup paperSize="9" scale="7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10"/>
  <sheetViews>
    <sheetView showGridLines="0" zoomScaleNormal="100" workbookViewId="0">
      <selection activeCell="B1" sqref="B1:F1"/>
    </sheetView>
  </sheetViews>
  <sheetFormatPr defaultColWidth="8.6640625" defaultRowHeight="14.4" x14ac:dyDescent="0.3"/>
  <cols>
    <col min="1" max="1" width="3" customWidth="1"/>
    <col min="2" max="2" width="45.33203125" customWidth="1"/>
    <col min="3" max="3" width="16" customWidth="1"/>
    <col min="4" max="4" width="14" customWidth="1"/>
    <col min="5" max="5" width="20" customWidth="1"/>
    <col min="6" max="6" width="16" customWidth="1"/>
  </cols>
  <sheetData>
    <row r="1" spans="2:6" ht="25.5" customHeight="1" x14ac:dyDescent="0.3">
      <c r="B1" s="13" t="s">
        <v>257</v>
      </c>
      <c r="C1" s="13"/>
      <c r="D1" s="13"/>
      <c r="E1" s="13"/>
      <c r="F1" s="13"/>
    </row>
    <row r="3" spans="2:6" ht="30" customHeight="1" x14ac:dyDescent="0.3">
      <c r="B3" s="18" t="s">
        <v>258</v>
      </c>
      <c r="C3" s="18" t="s">
        <v>259</v>
      </c>
      <c r="D3" s="18" t="s">
        <v>260</v>
      </c>
      <c r="E3" s="18" t="s">
        <v>261</v>
      </c>
      <c r="F3" s="18" t="s">
        <v>262</v>
      </c>
    </row>
    <row r="4" spans="2:6" ht="15" customHeight="1" x14ac:dyDescent="0.3">
      <c r="B4" s="66" t="s">
        <v>263</v>
      </c>
      <c r="C4" s="67" t="s">
        <v>264</v>
      </c>
      <c r="D4" s="67" t="s">
        <v>264</v>
      </c>
      <c r="E4" s="67" t="s">
        <v>265</v>
      </c>
      <c r="F4" s="67" t="s">
        <v>264</v>
      </c>
    </row>
    <row r="5" spans="2:6" ht="15" customHeight="1" x14ac:dyDescent="0.3">
      <c r="B5" s="68" t="s">
        <v>266</v>
      </c>
      <c r="C5" s="69" t="s">
        <v>265</v>
      </c>
      <c r="D5" s="69" t="s">
        <v>265</v>
      </c>
      <c r="E5" s="69" t="s">
        <v>264</v>
      </c>
      <c r="F5" s="69" t="s">
        <v>264</v>
      </c>
    </row>
    <row r="6" spans="2:6" ht="15" customHeight="1" x14ac:dyDescent="0.3">
      <c r="B6" s="66" t="s">
        <v>267</v>
      </c>
      <c r="C6" s="67" t="s">
        <v>264</v>
      </c>
      <c r="D6" s="67" t="s">
        <v>265</v>
      </c>
      <c r="E6" s="67" t="s">
        <v>265</v>
      </c>
      <c r="F6" s="67" t="s">
        <v>264</v>
      </c>
    </row>
    <row r="7" spans="2:6" ht="15" customHeight="1" x14ac:dyDescent="0.3">
      <c r="B7" s="70" t="s">
        <v>268</v>
      </c>
      <c r="C7" s="71" t="s">
        <v>269</v>
      </c>
      <c r="D7" s="71" t="s">
        <v>270</v>
      </c>
      <c r="E7" s="71" t="s">
        <v>271</v>
      </c>
      <c r="F7" s="71" t="s">
        <v>265</v>
      </c>
    </row>
    <row r="10" spans="2:6" ht="42.75" customHeight="1" x14ac:dyDescent="0.3">
      <c r="B10" s="7" t="s">
        <v>272</v>
      </c>
      <c r="C10" s="7"/>
      <c r="D10" s="7"/>
      <c r="E10" s="7"/>
      <c r="F10" s="7"/>
    </row>
  </sheetData>
  <mergeCells count="1">
    <mergeCell ref="B10:F10"/>
  </mergeCells>
  <pageMargins left="0.75" right="0.75" top="1" bottom="1" header="0.511811023622047" footer="0.511811023622047"/>
  <pageSetup paperSize="9"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E12"/>
  <sheetViews>
    <sheetView showGridLines="0" zoomScaleNormal="100" workbookViewId="0">
      <selection activeCell="B12" sqref="B12:E12"/>
    </sheetView>
  </sheetViews>
  <sheetFormatPr defaultColWidth="8.6640625" defaultRowHeight="14.4" x14ac:dyDescent="0.3"/>
  <cols>
    <col min="1" max="1" width="3" customWidth="1"/>
    <col min="2" max="2" width="46.5546875" customWidth="1"/>
    <col min="3" max="4" width="18" customWidth="1"/>
    <col min="5" max="5" width="24" customWidth="1"/>
  </cols>
  <sheetData>
    <row r="1" spans="2:5" ht="25.5" customHeight="1" x14ac:dyDescent="0.3">
      <c r="B1" s="13" t="s">
        <v>273</v>
      </c>
      <c r="C1" s="13"/>
      <c r="D1" s="13"/>
      <c r="E1" s="13"/>
    </row>
    <row r="3" spans="2:5" ht="30" customHeight="1" x14ac:dyDescent="0.3">
      <c r="B3" s="18" t="s">
        <v>177</v>
      </c>
      <c r="C3" s="18" t="s">
        <v>274</v>
      </c>
      <c r="D3" s="18" t="s">
        <v>275</v>
      </c>
      <c r="E3" s="18" t="s">
        <v>276</v>
      </c>
    </row>
    <row r="4" spans="2:5" ht="15" customHeight="1" x14ac:dyDescent="0.3">
      <c r="B4" s="34" t="s">
        <v>277</v>
      </c>
      <c r="C4" s="36">
        <v>0.72</v>
      </c>
      <c r="D4" s="36">
        <v>0.86</v>
      </c>
      <c r="E4" s="47" t="s">
        <v>278</v>
      </c>
    </row>
    <row r="5" spans="2:5" ht="15" customHeight="1" x14ac:dyDescent="0.3">
      <c r="B5" s="34" t="s">
        <v>279</v>
      </c>
      <c r="C5" s="38">
        <v>3.4000000000000002E-2</v>
      </c>
      <c r="D5" s="38">
        <v>2.8000000000000001E-2</v>
      </c>
      <c r="E5" s="47" t="s">
        <v>278</v>
      </c>
    </row>
    <row r="6" spans="2:5" ht="15" customHeight="1" x14ac:dyDescent="0.3">
      <c r="B6" s="34" t="s">
        <v>280</v>
      </c>
      <c r="C6" s="37">
        <v>38000</v>
      </c>
      <c r="D6" s="37">
        <v>54000</v>
      </c>
      <c r="E6" s="47" t="s">
        <v>278</v>
      </c>
    </row>
    <row r="7" spans="2:5" ht="15" customHeight="1" x14ac:dyDescent="0.3">
      <c r="B7" s="34" t="s">
        <v>281</v>
      </c>
      <c r="C7" s="36">
        <v>0.18</v>
      </c>
      <c r="D7" s="36">
        <v>0.34</v>
      </c>
      <c r="E7" s="47" t="s">
        <v>278</v>
      </c>
    </row>
    <row r="8" spans="2:5" ht="15" customHeight="1" x14ac:dyDescent="0.3">
      <c r="B8" s="34" t="s">
        <v>282</v>
      </c>
      <c r="C8" s="38">
        <v>0.17499999999999999</v>
      </c>
      <c r="D8" s="38">
        <v>0.186</v>
      </c>
      <c r="E8" s="47" t="s">
        <v>278</v>
      </c>
    </row>
    <row r="9" spans="2:5" ht="15" customHeight="1" x14ac:dyDescent="0.3">
      <c r="B9" s="20" t="s">
        <v>283</v>
      </c>
      <c r="C9" s="2">
        <f>'3-Year P&amp;L'!$E$18</f>
        <v>10.930055999999993</v>
      </c>
      <c r="D9" s="2"/>
      <c r="E9" s="47" t="s">
        <v>284</v>
      </c>
    </row>
    <row r="10" spans="2:5" ht="15" customHeight="1" x14ac:dyDescent="0.3">
      <c r="B10" s="34" t="s">
        <v>285</v>
      </c>
      <c r="C10" s="1" t="s">
        <v>286</v>
      </c>
      <c r="D10" s="1"/>
      <c r="E10" s="19"/>
    </row>
    <row r="12" spans="2:5" ht="61.8" customHeight="1" x14ac:dyDescent="0.3">
      <c r="B12" s="86" t="s">
        <v>287</v>
      </c>
      <c r="C12" s="86"/>
      <c r="D12" s="86"/>
      <c r="E12" s="86"/>
    </row>
  </sheetData>
  <mergeCells count="3">
    <mergeCell ref="C9:D9"/>
    <mergeCell ref="C10:D10"/>
    <mergeCell ref="B12:E12"/>
  </mergeCells>
  <pageMargins left="0.75" right="0.75" top="1" bottom="1" header="0.511811023622047" footer="0.511811023622047"/>
  <pageSetup paperSize="9"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G23"/>
  <sheetViews>
    <sheetView showGridLines="0" zoomScaleNormal="100" workbookViewId="0">
      <selection activeCell="B7" sqref="B7"/>
    </sheetView>
  </sheetViews>
  <sheetFormatPr defaultColWidth="8.6640625" defaultRowHeight="14.4" x14ac:dyDescent="0.3"/>
  <cols>
    <col min="1" max="1" width="3" customWidth="1"/>
    <col min="2" max="2" width="48.33203125" customWidth="1"/>
    <col min="3" max="5" width="16" customWidth="1"/>
    <col min="6" max="6" width="19.109375" customWidth="1"/>
    <col min="7" max="7" width="73.5546875" bestFit="1" customWidth="1"/>
  </cols>
  <sheetData>
    <row r="1" spans="2:7" ht="25.5" customHeight="1" x14ac:dyDescent="0.3">
      <c r="B1" s="13" t="s">
        <v>288</v>
      </c>
      <c r="C1" s="13"/>
      <c r="D1" s="13"/>
      <c r="E1" s="13"/>
      <c r="F1" s="13"/>
      <c r="G1" s="13"/>
    </row>
    <row r="3" spans="2:7" ht="30" customHeight="1" x14ac:dyDescent="0.3">
      <c r="B3" s="18"/>
      <c r="C3" s="18" t="s">
        <v>289</v>
      </c>
      <c r="D3" s="18" t="s">
        <v>144</v>
      </c>
      <c r="E3" s="18" t="s">
        <v>145</v>
      </c>
      <c r="F3" s="18" t="s">
        <v>146</v>
      </c>
      <c r="G3" s="18" t="s">
        <v>128</v>
      </c>
    </row>
    <row r="4" spans="2:7" ht="15" customHeight="1" x14ac:dyDescent="0.3">
      <c r="B4" s="20" t="s">
        <v>290</v>
      </c>
      <c r="C4" s="48">
        <f>-Assumptions!$C$44</f>
        <v>-8.2999999999999989</v>
      </c>
      <c r="D4" s="48">
        <f>'3-Year P&amp;L'!$C$20</f>
        <v>-4.2262400000000588E-2</v>
      </c>
      <c r="E4" s="48">
        <f>'3-Year P&amp;L'!$D$20</f>
        <v>2.4169631999999979</v>
      </c>
      <c r="F4" s="48">
        <f>'3-Year P&amp;L'!$E$20+F5</f>
        <v>94.271732999999969</v>
      </c>
      <c r="G4" s="47" t="s">
        <v>291</v>
      </c>
    </row>
    <row r="5" spans="2:7" ht="15" customHeight="1" x14ac:dyDescent="0.3">
      <c r="B5" s="34" t="s">
        <v>292</v>
      </c>
      <c r="C5" s="48"/>
      <c r="D5" s="48"/>
      <c r="E5" s="48"/>
      <c r="F5" s="48">
        <f>'3-Year P&amp;L'!$E$20*(1+Assumptions!$C$48)/(Assumptions!$C$45-Assumptions!$C$48)</f>
        <v>86.074190999999971</v>
      </c>
      <c r="G5" s="47" t="s">
        <v>293</v>
      </c>
    </row>
    <row r="6" spans="2:7" ht="15" customHeight="1" x14ac:dyDescent="0.3">
      <c r="B6" s="34" t="s">
        <v>294</v>
      </c>
      <c r="C6" s="48">
        <f>-Assumptions!$C$44</f>
        <v>-8.2999999999999989</v>
      </c>
      <c r="D6" s="48">
        <f>'3-Year P&amp;L'!$C$20</f>
        <v>-4.2262400000000588E-2</v>
      </c>
      <c r="E6" s="48">
        <f>'3-Year P&amp;L'!$D$20</f>
        <v>2.4169631999999979</v>
      </c>
      <c r="F6" s="48">
        <f>'3-Year P&amp;L'!$E$20</f>
        <v>8.197541999999995</v>
      </c>
      <c r="G6" s="47" t="s">
        <v>295</v>
      </c>
    </row>
    <row r="8" spans="2:7" ht="15" customHeight="1" x14ac:dyDescent="0.3">
      <c r="B8" s="20" t="s">
        <v>296</v>
      </c>
      <c r="C8" s="77">
        <f>IRR(C4:F4,0.3)</f>
        <v>1.2893012636586865</v>
      </c>
      <c r="D8" s="77"/>
      <c r="E8" s="19"/>
      <c r="F8" s="19"/>
      <c r="G8" s="47" t="s">
        <v>297</v>
      </c>
    </row>
    <row r="9" spans="2:7" ht="15" customHeight="1" x14ac:dyDescent="0.3">
      <c r="B9" s="20" t="s">
        <v>298</v>
      </c>
      <c r="C9" s="78">
        <f>NPV(Assumptions!$C$45,D4:F4)+C4</f>
        <v>55.476016211720214</v>
      </c>
      <c r="D9" s="78"/>
      <c r="E9" s="19"/>
      <c r="F9" s="19"/>
      <c r="G9" s="47" t="s">
        <v>299</v>
      </c>
    </row>
    <row r="10" spans="2:7" ht="15" customHeight="1" x14ac:dyDescent="0.3">
      <c r="B10" s="20" t="s">
        <v>300</v>
      </c>
      <c r="C10" s="79">
        <f>IF(D4+C4&gt;0,1+(-C4)/D4,IF(D4+E4+C4&gt;0,2+(-C4-D4)/E4,3+(-C4-D4-E4)/'3-Year P&amp;L'!$E$20))</f>
        <v>3.7228141313579126</v>
      </c>
      <c r="D10" s="79"/>
      <c r="E10" s="19"/>
      <c r="F10" s="19"/>
      <c r="G10" s="47" t="s">
        <v>301</v>
      </c>
    </row>
    <row r="11" spans="2:7" ht="15" customHeight="1" x14ac:dyDescent="0.3">
      <c r="B11" s="34" t="s">
        <v>302</v>
      </c>
      <c r="C11" s="80">
        <f>IRR(C6:F6,0.1)</f>
        <v>9.1212056658750651E-2</v>
      </c>
      <c r="D11" s="80"/>
      <c r="E11" s="19"/>
      <c r="F11" s="19"/>
      <c r="G11" s="47" t="s">
        <v>303</v>
      </c>
    </row>
    <row r="12" spans="2:7" ht="15" customHeight="1" x14ac:dyDescent="0.3">
      <c r="B12" s="34" t="s">
        <v>304</v>
      </c>
      <c r="C12" s="81">
        <f>NPV(Assumptions!$C$45,D6:F6)+C6</f>
        <v>-1.1191615642311197</v>
      </c>
      <c r="D12" s="81"/>
      <c r="E12" s="19"/>
      <c r="F12" s="19"/>
      <c r="G12" s="47" t="s">
        <v>305</v>
      </c>
    </row>
    <row r="13" spans="2:7" ht="32.25" customHeight="1" x14ac:dyDescent="0.3">
      <c r="B13" s="7" t="s">
        <v>306</v>
      </c>
      <c r="C13" s="7"/>
      <c r="D13" s="7"/>
      <c r="E13" s="7"/>
      <c r="F13" s="7"/>
      <c r="G13" s="7"/>
    </row>
    <row r="15" spans="2:7" ht="15.75" customHeight="1" x14ac:dyDescent="0.3">
      <c r="B15" s="17" t="s">
        <v>307</v>
      </c>
      <c r="C15" s="17"/>
      <c r="D15" s="17"/>
      <c r="E15" s="17"/>
    </row>
    <row r="16" spans="2:7" ht="30" customHeight="1" x14ac:dyDescent="0.3">
      <c r="B16" s="18"/>
      <c r="C16" s="18" t="s">
        <v>144</v>
      </c>
      <c r="D16" s="18" t="s">
        <v>145</v>
      </c>
      <c r="E16" s="18" t="s">
        <v>146</v>
      </c>
      <c r="F16" s="82" t="s">
        <v>128</v>
      </c>
      <c r="G16" s="83"/>
    </row>
    <row r="17" spans="2:7" ht="15" customHeight="1" x14ac:dyDescent="0.3">
      <c r="B17" s="34" t="s">
        <v>308</v>
      </c>
      <c r="C17" s="48">
        <f>'3-Year P&amp;L'!$C$5</f>
        <v>30.119039999999998</v>
      </c>
      <c r="D17" s="48">
        <f>'3-Year P&amp;L'!$D$5</f>
        <v>91.863071999999988</v>
      </c>
      <c r="E17" s="48">
        <f>'3-Year P&amp;L'!$E$5</f>
        <v>225.96809759999996</v>
      </c>
      <c r="F17" s="84" t="s">
        <v>309</v>
      </c>
      <c r="G17" s="85"/>
    </row>
    <row r="18" spans="2:7" ht="15" customHeight="1" x14ac:dyDescent="0.3">
      <c r="B18" s="34" t="s">
        <v>310</v>
      </c>
      <c r="C18" s="48">
        <f>C17*Assumptions!$C$46</f>
        <v>4.5178559999999992</v>
      </c>
      <c r="D18" s="48">
        <f>D17*Assumptions!$C$46</f>
        <v>13.779460799999997</v>
      </c>
      <c r="E18" s="48">
        <f>E17*Assumptions!$C$46</f>
        <v>33.895214639999992</v>
      </c>
      <c r="F18" s="84" t="s">
        <v>311</v>
      </c>
      <c r="G18" s="85"/>
    </row>
    <row r="19" spans="2:7" ht="15" customHeight="1" x14ac:dyDescent="0.3">
      <c r="B19" s="34" t="s">
        <v>312</v>
      </c>
      <c r="C19" s="50">
        <f>C18/Assumptions!$C$47</f>
        <v>9.0357119999999978E-3</v>
      </c>
      <c r="D19" s="50">
        <f>D18/Assumptions!$C$47</f>
        <v>2.7558921599999994E-2</v>
      </c>
      <c r="E19" s="50">
        <f>E18/Assumptions!$C$47</f>
        <v>6.7790429279999981E-2</v>
      </c>
      <c r="F19" s="84" t="s">
        <v>313</v>
      </c>
      <c r="G19" s="85"/>
    </row>
    <row r="20" spans="2:7" ht="15" customHeight="1" x14ac:dyDescent="0.3">
      <c r="B20" s="20" t="s">
        <v>314</v>
      </c>
      <c r="C20" s="72">
        <f>'3-Year P&amp;L'!$C$20/C18</f>
        <v>-9.3545256865204644E-3</v>
      </c>
      <c r="D20" s="72">
        <f>'3-Year P&amp;L'!$D$20/D18</f>
        <v>0.17540332202258585</v>
      </c>
      <c r="E20" s="72">
        <f>'3-Year P&amp;L'!$E$20/E18</f>
        <v>0.24184953796769929</v>
      </c>
      <c r="F20" s="84" t="s">
        <v>315</v>
      </c>
      <c r="G20" s="85"/>
    </row>
    <row r="21" spans="2:7" ht="15" customHeight="1" x14ac:dyDescent="0.3">
      <c r="B21" s="20" t="s">
        <v>316</v>
      </c>
      <c r="C21" s="48">
        <f>'3-Year P&amp;L'!$C$20-C18*Assumptions!$C$45</f>
        <v>-0.71994080000000049</v>
      </c>
      <c r="D21" s="48">
        <f>'3-Year P&amp;L'!$D$20-D18*Assumptions!$C$45</f>
        <v>0.3500440799999982</v>
      </c>
      <c r="E21" s="48">
        <f>'3-Year P&amp;L'!$E$20-E18*Assumptions!$C$45</f>
        <v>3.1132598039999966</v>
      </c>
      <c r="F21" s="84" t="s">
        <v>317</v>
      </c>
      <c r="G21" s="85"/>
    </row>
    <row r="23" spans="2:7" ht="48" customHeight="1" x14ac:dyDescent="0.3">
      <c r="B23" s="7" t="s">
        <v>318</v>
      </c>
      <c r="C23" s="7"/>
      <c r="D23" s="7"/>
      <c r="E23" s="7"/>
      <c r="F23" s="7"/>
      <c r="G23" s="7"/>
    </row>
  </sheetData>
  <mergeCells count="13">
    <mergeCell ref="C12:D12"/>
    <mergeCell ref="B13:G13"/>
    <mergeCell ref="B23:G23"/>
    <mergeCell ref="F16:G16"/>
    <mergeCell ref="F17:G17"/>
    <mergeCell ref="F18:G18"/>
    <mergeCell ref="F19:G19"/>
    <mergeCell ref="F20:G20"/>
    <mergeCell ref="F21:G21"/>
    <mergeCell ref="C8:D8"/>
    <mergeCell ref="C9:D9"/>
    <mergeCell ref="C10:D10"/>
    <mergeCell ref="C11:D11"/>
  </mergeCells>
  <pageMargins left="0.75" right="0.75" top="1" bottom="1" header="0.511811023622047" footer="0.511811023622047"/>
  <pageSetup paperSize="9" scale="67"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G10"/>
  <sheetViews>
    <sheetView showGridLines="0" zoomScaleNormal="100" workbookViewId="0">
      <selection activeCell="J19" sqref="J19"/>
    </sheetView>
  </sheetViews>
  <sheetFormatPr defaultColWidth="8.6640625" defaultRowHeight="14.4" x14ac:dyDescent="0.3"/>
  <cols>
    <col min="1" max="1" width="3" customWidth="1"/>
    <col min="2" max="2" width="30" customWidth="1"/>
    <col min="3" max="6" width="16" customWidth="1"/>
    <col min="7" max="7" width="60.88671875" bestFit="1" customWidth="1"/>
  </cols>
  <sheetData>
    <row r="1" spans="2:7" ht="25.5" customHeight="1" x14ac:dyDescent="0.3">
      <c r="B1" s="13" t="s">
        <v>319</v>
      </c>
      <c r="C1" s="13"/>
      <c r="D1" s="13"/>
      <c r="E1" s="13"/>
      <c r="F1" s="13"/>
      <c r="G1" s="13"/>
    </row>
    <row r="3" spans="2:7" ht="30" customHeight="1" x14ac:dyDescent="0.3">
      <c r="B3" s="18" t="s">
        <v>181</v>
      </c>
      <c r="C3" s="18" t="s">
        <v>320</v>
      </c>
      <c r="D3" s="18" t="s">
        <v>321</v>
      </c>
      <c r="E3" s="18" t="s">
        <v>322</v>
      </c>
      <c r="F3" s="18" t="s">
        <v>323</v>
      </c>
      <c r="G3" s="18" t="s">
        <v>324</v>
      </c>
    </row>
    <row r="4" spans="2:7" ht="15" customHeight="1" x14ac:dyDescent="0.3">
      <c r="B4" s="34" t="s">
        <v>325</v>
      </c>
      <c r="C4" s="48">
        <f>'3-Year P&amp;L'!$E$18-'3-Year P&amp;L'!$E$5*(1-Assumptions!$C$28/Assumptions!$C$27)*(Assumptions!$C$17-Assumptions!$C$18+Assumptions!$C$24)</f>
        <v>-3.9838384416000014</v>
      </c>
      <c r="D4" s="49">
        <f>'3-Year P&amp;L'!$E$18</f>
        <v>10.930055999999993</v>
      </c>
      <c r="E4" s="48">
        <f>'3-Year P&amp;L'!$E$18+'3-Year P&amp;L'!$E$5*(Assumptions!$C$29/Assumptions!$C$27-1)*(Assumptions!$C$17-Assumptions!$C$18+Assumptions!$C$24)</f>
        <v>20.872652294399991</v>
      </c>
      <c r="F4" s="48">
        <f>E4-C4</f>
        <v>24.856490735999991</v>
      </c>
      <c r="G4" s="47" t="s">
        <v>326</v>
      </c>
    </row>
    <row r="5" spans="2:7" ht="15" customHeight="1" x14ac:dyDescent="0.3">
      <c r="B5" s="34" t="s">
        <v>327</v>
      </c>
      <c r="C5" s="48">
        <f>'3-Year P&amp;L'!$E$18-'3-Year P&amp;L'!$E$5*(Assumptions!$C$25-Assumptions!$C$24)</f>
        <v>4.1510130719999943</v>
      </c>
      <c r="D5" s="49">
        <f>'3-Year P&amp;L'!$E$18</f>
        <v>10.930055999999993</v>
      </c>
      <c r="E5" s="48">
        <f>'3-Year P&amp;L'!$E$18+'3-Year P&amp;L'!$E$5*(Assumptions!$C$24-Assumptions!$C$26)</f>
        <v>14.319577463999993</v>
      </c>
      <c r="F5" s="48">
        <f>E5-C5</f>
        <v>10.168564391999999</v>
      </c>
      <c r="G5" s="47" t="s">
        <v>328</v>
      </c>
    </row>
    <row r="6" spans="2:7" ht="15" customHeight="1" x14ac:dyDescent="0.3">
      <c r="B6" s="34" t="s">
        <v>329</v>
      </c>
      <c r="C6" s="48">
        <f>'3-Year P&amp;L'!$E$18-'3-Year P&amp;L'!$E$5*0.01</f>
        <v>8.670375023999993</v>
      </c>
      <c r="D6" s="49">
        <f>'3-Year P&amp;L'!$E$18</f>
        <v>10.930055999999993</v>
      </c>
      <c r="E6" s="48">
        <f>'3-Year P&amp;L'!$E$18+'3-Year P&amp;L'!$E$5*0.01</f>
        <v>13.189736975999994</v>
      </c>
      <c r="F6" s="48">
        <f>E6-C6</f>
        <v>4.5193619520000006</v>
      </c>
      <c r="G6" s="47" t="s">
        <v>330</v>
      </c>
    </row>
    <row r="7" spans="2:7" ht="15" customHeight="1" x14ac:dyDescent="0.3">
      <c r="B7" s="34" t="s">
        <v>331</v>
      </c>
      <c r="C7" s="48">
        <f>'3-Year P&amp;L'!$E$18-'3-Year P&amp;L'!$E$5*0.01</f>
        <v>8.670375023999993</v>
      </c>
      <c r="D7" s="49">
        <f>'3-Year P&amp;L'!$E$18</f>
        <v>10.930055999999993</v>
      </c>
      <c r="E7" s="48">
        <f>'3-Year P&amp;L'!$E$18+'3-Year P&amp;L'!$E$5*0.01</f>
        <v>13.189736975999994</v>
      </c>
      <c r="F7" s="48">
        <f>E7-C7</f>
        <v>4.5193619520000006</v>
      </c>
      <c r="G7" s="47" t="s">
        <v>332</v>
      </c>
    </row>
    <row r="8" spans="2:7" ht="15" customHeight="1" x14ac:dyDescent="0.3">
      <c r="B8" s="34" t="s">
        <v>333</v>
      </c>
      <c r="C8" s="48">
        <f>'3-Year P&amp;L'!$E$18-'3-Year P&amp;L'!$E$15*0.1</f>
        <v>10.191447479999994</v>
      </c>
      <c r="D8" s="49">
        <f>'3-Year P&amp;L'!$E$18</f>
        <v>10.930055999999993</v>
      </c>
      <c r="E8" s="48">
        <f>'3-Year P&amp;L'!$E$18+'3-Year P&amp;L'!$E$15*0.1</f>
        <v>11.668664519999993</v>
      </c>
      <c r="F8" s="48">
        <f>E8-C8</f>
        <v>1.4772170399999993</v>
      </c>
      <c r="G8" s="47" t="s">
        <v>334</v>
      </c>
    </row>
    <row r="10" spans="2:7" ht="21.75" customHeight="1" x14ac:dyDescent="0.3">
      <c r="B10" s="7" t="s">
        <v>335</v>
      </c>
      <c r="C10" s="7"/>
      <c r="D10" s="7"/>
      <c r="E10" s="7"/>
      <c r="F10" s="7"/>
      <c r="G10" s="7"/>
    </row>
  </sheetData>
  <mergeCells count="1">
    <mergeCell ref="B10:G10"/>
  </mergeCells>
  <pageMargins left="0.75" right="0.75" top="1" bottom="1" header="0.511811023622047" footer="0.511811023622047"/>
  <pageSetup paperSize="9" scale="82"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F17"/>
  <sheetViews>
    <sheetView showGridLines="0" zoomScaleNormal="100" workbookViewId="0">
      <selection activeCell="B1" sqref="B1"/>
    </sheetView>
  </sheetViews>
  <sheetFormatPr defaultColWidth="8.6640625" defaultRowHeight="14.4" x14ac:dyDescent="0.3"/>
  <cols>
    <col min="1" max="1" width="3" customWidth="1"/>
    <col min="2" max="2" width="37.88671875" customWidth="1"/>
    <col min="3" max="5" width="16" customWidth="1"/>
    <col min="6" max="6" width="79.88671875" bestFit="1" customWidth="1"/>
  </cols>
  <sheetData>
    <row r="1" spans="2:6" ht="25.5" customHeight="1" x14ac:dyDescent="0.3">
      <c r="B1" s="13" t="s">
        <v>336</v>
      </c>
      <c r="C1" s="13"/>
      <c r="D1" s="13"/>
      <c r="E1" s="13"/>
      <c r="F1" s="13"/>
    </row>
    <row r="3" spans="2:6" ht="30" customHeight="1" x14ac:dyDescent="0.3">
      <c r="B3" s="18" t="s">
        <v>337</v>
      </c>
      <c r="C3" s="18" t="s">
        <v>144</v>
      </c>
      <c r="D3" s="18" t="s">
        <v>145</v>
      </c>
      <c r="E3" s="18" t="s">
        <v>146</v>
      </c>
      <c r="F3" s="18" t="s">
        <v>338</v>
      </c>
    </row>
    <row r="4" spans="2:6" ht="15" customHeight="1" x14ac:dyDescent="0.3">
      <c r="B4" s="20" t="s">
        <v>339</v>
      </c>
      <c r="C4" s="49">
        <f>'3-Year P&amp;L'!C5</f>
        <v>30.119039999999998</v>
      </c>
      <c r="D4" s="49">
        <f>'3-Year P&amp;L'!D5</f>
        <v>91.863071999999988</v>
      </c>
      <c r="E4" s="49">
        <f>'3-Year P&amp;L'!E5</f>
        <v>225.96809759999996</v>
      </c>
      <c r="F4" s="47" t="s">
        <v>309</v>
      </c>
    </row>
    <row r="5" spans="2:6" ht="15" customHeight="1" x14ac:dyDescent="0.3">
      <c r="B5" s="34" t="s">
        <v>340</v>
      </c>
      <c r="C5" s="48">
        <f>'3-Year P&amp;L'!C9</f>
        <v>2.4095231999999993</v>
      </c>
      <c r="D5" s="48">
        <f>'3-Year P&amp;L'!D9</f>
        <v>7.3490457599999974</v>
      </c>
      <c r="E5" s="48">
        <f>'3-Year P&amp;L'!E9</f>
        <v>18.077447807999995</v>
      </c>
      <c r="F5" s="47" t="s">
        <v>309</v>
      </c>
    </row>
    <row r="6" spans="2:6" ht="15" customHeight="1" x14ac:dyDescent="0.3">
      <c r="B6" s="34" t="s">
        <v>187</v>
      </c>
      <c r="C6" s="48">
        <f>'3-Year P&amp;L'!C16</f>
        <v>0.90357119999999991</v>
      </c>
      <c r="D6" s="48">
        <f>'3-Year P&amp;L'!D16</f>
        <v>2.7558921599999997</v>
      </c>
      <c r="E6" s="48">
        <f>'3-Year P&amp;L'!E16</f>
        <v>6.7790429279999991</v>
      </c>
      <c r="F6" s="47" t="s">
        <v>309</v>
      </c>
    </row>
    <row r="7" spans="2:6" ht="15" customHeight="1" x14ac:dyDescent="0.3">
      <c r="B7" s="34" t="s">
        <v>341</v>
      </c>
      <c r="C7" s="50">
        <f>'Capital &amp; Returns'!C20</f>
        <v>-9.3545256865204644E-3</v>
      </c>
      <c r="D7" s="50">
        <f>'Capital &amp; Returns'!D20</f>
        <v>0.17540332202258585</v>
      </c>
      <c r="E7" s="50">
        <f>'Capital &amp; Returns'!E20</f>
        <v>0.24184953796769929</v>
      </c>
      <c r="F7" s="47" t="s">
        <v>342</v>
      </c>
    </row>
    <row r="8" spans="2:6" ht="15" customHeight="1" x14ac:dyDescent="0.3">
      <c r="B8" s="34" t="s">
        <v>343</v>
      </c>
      <c r="C8" s="45">
        <v>38000</v>
      </c>
      <c r="D8" s="45">
        <v>46000</v>
      </c>
      <c r="E8" s="45">
        <v>54000</v>
      </c>
      <c r="F8" s="47" t="s">
        <v>344</v>
      </c>
    </row>
    <row r="9" spans="2:6" ht="15" customHeight="1" x14ac:dyDescent="0.3">
      <c r="B9" s="34" t="s">
        <v>345</v>
      </c>
      <c r="C9" s="45">
        <v>450</v>
      </c>
      <c r="D9" s="45">
        <v>400</v>
      </c>
      <c r="E9" s="45">
        <v>350</v>
      </c>
      <c r="F9" s="47" t="s">
        <v>346</v>
      </c>
    </row>
    <row r="10" spans="2:6" ht="15" customHeight="1" x14ac:dyDescent="0.3">
      <c r="B10" s="34" t="s">
        <v>182</v>
      </c>
      <c r="C10" s="46">
        <f>Assumptions!$C$27</f>
        <v>0.25</v>
      </c>
      <c r="D10" s="46">
        <f>Assumptions!$C$27</f>
        <v>0.25</v>
      </c>
      <c r="E10" s="46">
        <f>Assumptions!$C$27</f>
        <v>0.25</v>
      </c>
      <c r="F10" s="47" t="s">
        <v>347</v>
      </c>
    </row>
    <row r="11" spans="2:6" ht="15" customHeight="1" x14ac:dyDescent="0.3">
      <c r="B11" s="34" t="s">
        <v>348</v>
      </c>
      <c r="C11" s="50">
        <f>Assumptions!$C$24</f>
        <v>0.03</v>
      </c>
      <c r="D11" s="50">
        <f>Assumptions!$C$24</f>
        <v>0.03</v>
      </c>
      <c r="E11" s="50">
        <f>Assumptions!$C$24</f>
        <v>0.03</v>
      </c>
      <c r="F11" s="47" t="s">
        <v>347</v>
      </c>
    </row>
    <row r="12" spans="2:6" ht="15" customHeight="1" x14ac:dyDescent="0.3">
      <c r="B12" s="34" t="s">
        <v>349</v>
      </c>
      <c r="C12" s="46">
        <v>0.92</v>
      </c>
      <c r="D12" s="46">
        <v>0.94</v>
      </c>
      <c r="E12" s="46">
        <v>0.96</v>
      </c>
      <c r="F12" s="47" t="s">
        <v>350</v>
      </c>
    </row>
    <row r="13" spans="2:6" ht="15" customHeight="1" x14ac:dyDescent="0.3">
      <c r="B13" s="34" t="s">
        <v>281</v>
      </c>
      <c r="C13" s="46">
        <v>0.18</v>
      </c>
      <c r="D13" s="46">
        <v>0.26</v>
      </c>
      <c r="E13" s="46">
        <v>0.34</v>
      </c>
      <c r="F13" s="47" t="s">
        <v>344</v>
      </c>
    </row>
    <row r="14" spans="2:6" ht="15" customHeight="1" x14ac:dyDescent="0.3">
      <c r="B14" s="34" t="s">
        <v>351</v>
      </c>
      <c r="C14" s="50">
        <v>3.4000000000000002E-2</v>
      </c>
      <c r="D14" s="50">
        <v>3.1E-2</v>
      </c>
      <c r="E14" s="50">
        <v>2.8000000000000001E-2</v>
      </c>
      <c r="F14" s="47" t="s">
        <v>344</v>
      </c>
    </row>
    <row r="15" spans="2:6" ht="15" customHeight="1" x14ac:dyDescent="0.3">
      <c r="B15" s="34" t="s">
        <v>352</v>
      </c>
      <c r="C15" s="50">
        <v>0.09</v>
      </c>
      <c r="D15" s="50">
        <v>7.4999999999999997E-2</v>
      </c>
      <c r="E15" s="50">
        <v>0.06</v>
      </c>
      <c r="F15" s="47" t="s">
        <v>353</v>
      </c>
    </row>
    <row r="17" spans="2:6" ht="32.25" customHeight="1" x14ac:dyDescent="0.3">
      <c r="B17" s="7" t="s">
        <v>354</v>
      </c>
      <c r="C17" s="7"/>
      <c r="D17" s="7"/>
      <c r="E17" s="7"/>
      <c r="F17" s="7"/>
    </row>
  </sheetData>
  <mergeCells count="1">
    <mergeCell ref="B17:F17"/>
  </mergeCells>
  <pageMargins left="0.75" right="0.75" top="1" bottom="1" header="0.511811023622047" footer="0.511811023622047"/>
  <pageSetup paperSize="9" scale="7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E12"/>
  <sheetViews>
    <sheetView showGridLines="0" zoomScaleNormal="100" workbookViewId="0">
      <selection activeCell="F1" sqref="F1:F1048576"/>
    </sheetView>
  </sheetViews>
  <sheetFormatPr defaultColWidth="8.6640625" defaultRowHeight="14.4" x14ac:dyDescent="0.3"/>
  <cols>
    <col min="1" max="1" width="3" customWidth="1"/>
    <col min="2" max="2" width="34" customWidth="1"/>
    <col min="3" max="3" width="42" customWidth="1"/>
    <col min="4" max="5" width="16" customWidth="1"/>
  </cols>
  <sheetData>
    <row r="1" spans="2:5" ht="21.75" customHeight="1" x14ac:dyDescent="0.4">
      <c r="B1" s="51" t="s">
        <v>355</v>
      </c>
      <c r="C1" s="51"/>
      <c r="D1" s="51"/>
      <c r="E1" s="51"/>
    </row>
    <row r="3" spans="2:5" ht="18" customHeight="1" x14ac:dyDescent="0.3">
      <c r="B3" s="7" t="s">
        <v>356</v>
      </c>
      <c r="C3" s="7"/>
      <c r="D3" s="7"/>
      <c r="E3" s="7"/>
    </row>
    <row r="5" spans="2:5" ht="26.25" customHeight="1" x14ac:dyDescent="0.3">
      <c r="B5" s="54" t="s">
        <v>177</v>
      </c>
      <c r="C5" s="54" t="s">
        <v>357</v>
      </c>
      <c r="D5" s="54" t="s">
        <v>358</v>
      </c>
      <c r="E5" s="54" t="s">
        <v>359</v>
      </c>
    </row>
    <row r="6" spans="2:5" ht="39.75" customHeight="1" x14ac:dyDescent="0.3">
      <c r="B6" s="65" t="s">
        <v>360</v>
      </c>
      <c r="C6" s="53" t="s">
        <v>361</v>
      </c>
      <c r="D6" s="73">
        <v>0.6</v>
      </c>
      <c r="E6" s="73">
        <v>0.75</v>
      </c>
    </row>
    <row r="7" spans="2:5" ht="39.75" customHeight="1" x14ac:dyDescent="0.3">
      <c r="B7" s="65" t="s">
        <v>362</v>
      </c>
      <c r="C7" s="53" t="s">
        <v>363</v>
      </c>
      <c r="D7" s="73">
        <v>0.65</v>
      </c>
      <c r="E7" s="73">
        <v>0.8</v>
      </c>
    </row>
    <row r="8" spans="2:5" ht="39.75" customHeight="1" x14ac:dyDescent="0.3">
      <c r="B8" s="65" t="s">
        <v>364</v>
      </c>
      <c r="C8" s="53" t="s">
        <v>365</v>
      </c>
      <c r="D8" s="73">
        <v>0.2</v>
      </c>
      <c r="E8" s="73">
        <v>0.12</v>
      </c>
    </row>
    <row r="9" spans="2:5" ht="39.75" customHeight="1" x14ac:dyDescent="0.3">
      <c r="B9" s="65" t="s">
        <v>366</v>
      </c>
      <c r="C9" s="53" t="s">
        <v>367</v>
      </c>
      <c r="D9" s="74">
        <f>Assumptions!C24</f>
        <v>0.03</v>
      </c>
      <c r="E9" s="74">
        <f>Assumptions!C24</f>
        <v>0.03</v>
      </c>
    </row>
    <row r="10" spans="2:5" ht="39.75" customHeight="1" x14ac:dyDescent="0.3">
      <c r="B10" s="65" t="s">
        <v>368</v>
      </c>
      <c r="C10" s="53" t="s">
        <v>369</v>
      </c>
      <c r="D10" s="74">
        <f>'Capital &amp; Returns'!C20</f>
        <v>-9.3545256865204644E-3</v>
      </c>
      <c r="E10" s="74">
        <f>'Capital &amp; Returns'!E20</f>
        <v>0.24184953796769929</v>
      </c>
    </row>
    <row r="12" spans="2:5" ht="45.75" customHeight="1" x14ac:dyDescent="0.3">
      <c r="B12" s="7" t="s">
        <v>370</v>
      </c>
      <c r="C12" s="7"/>
      <c r="D12" s="7"/>
      <c r="E12" s="7"/>
    </row>
  </sheetData>
  <mergeCells count="2">
    <mergeCell ref="B3:E3"/>
    <mergeCell ref="B12:E12"/>
  </mergeCells>
  <pageMargins left="0.75" right="0.75" top="1" bottom="1" header="0.511811023622047" footer="0.511811023622047"/>
  <pageSetup paperSize="9"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F13"/>
  <sheetViews>
    <sheetView showGridLines="0" tabSelected="1" zoomScaleNormal="100" workbookViewId="0">
      <selection activeCell="B11" sqref="B11"/>
    </sheetView>
  </sheetViews>
  <sheetFormatPr defaultColWidth="8.6640625" defaultRowHeight="14.4" x14ac:dyDescent="0.3"/>
  <cols>
    <col min="1" max="1" width="3" customWidth="1"/>
    <col min="2" max="2" width="56.88671875" customWidth="1"/>
    <col min="3" max="3" width="20.21875" bestFit="1" customWidth="1"/>
    <col min="4" max="4" width="19.21875" bestFit="1" customWidth="1"/>
    <col min="5" max="5" width="21.109375" bestFit="1" customWidth="1"/>
    <col min="6" max="6" width="10.44140625" bestFit="1" customWidth="1"/>
  </cols>
  <sheetData>
    <row r="1" spans="2:6" ht="25.5" customHeight="1" x14ac:dyDescent="0.3">
      <c r="B1" s="13" t="s">
        <v>371</v>
      </c>
      <c r="C1" s="13"/>
      <c r="D1" s="13"/>
      <c r="E1" s="13"/>
      <c r="F1" s="13"/>
    </row>
    <row r="3" spans="2:6" ht="30" customHeight="1" x14ac:dyDescent="0.3">
      <c r="B3" s="18" t="s">
        <v>372</v>
      </c>
      <c r="C3" s="18" t="s">
        <v>373</v>
      </c>
      <c r="D3" s="18" t="s">
        <v>374</v>
      </c>
      <c r="E3" s="18" t="s">
        <v>375</v>
      </c>
      <c r="F3" s="18" t="s">
        <v>376</v>
      </c>
    </row>
    <row r="4" spans="2:6" ht="30" customHeight="1" x14ac:dyDescent="0.3">
      <c r="B4" s="21" t="s">
        <v>377</v>
      </c>
      <c r="C4" s="75" t="s">
        <v>10</v>
      </c>
      <c r="D4" s="34" t="s">
        <v>378</v>
      </c>
      <c r="E4" s="34" t="s">
        <v>379</v>
      </c>
      <c r="F4" s="76" t="s">
        <v>380</v>
      </c>
    </row>
    <row r="5" spans="2:6" ht="30" customHeight="1" x14ac:dyDescent="0.3">
      <c r="B5" s="21" t="s">
        <v>381</v>
      </c>
      <c r="C5" s="75" t="s">
        <v>382</v>
      </c>
      <c r="D5" s="34" t="s">
        <v>383</v>
      </c>
      <c r="E5" s="34" t="s">
        <v>379</v>
      </c>
      <c r="F5" s="76" t="s">
        <v>380</v>
      </c>
    </row>
    <row r="6" spans="2:6" ht="30" customHeight="1" x14ac:dyDescent="0.3">
      <c r="B6" s="21" t="s">
        <v>384</v>
      </c>
      <c r="C6" s="75" t="s">
        <v>385</v>
      </c>
      <c r="D6" s="34" t="s">
        <v>386</v>
      </c>
      <c r="E6" s="34" t="s">
        <v>379</v>
      </c>
      <c r="F6" s="76" t="s">
        <v>380</v>
      </c>
    </row>
    <row r="7" spans="2:6" ht="30" customHeight="1" x14ac:dyDescent="0.3">
      <c r="B7" s="21" t="s">
        <v>387</v>
      </c>
      <c r="C7" s="75" t="s">
        <v>388</v>
      </c>
      <c r="D7" s="34" t="s">
        <v>389</v>
      </c>
      <c r="E7" s="34" t="s">
        <v>390</v>
      </c>
      <c r="F7" s="76" t="s">
        <v>380</v>
      </c>
    </row>
    <row r="8" spans="2:6" ht="30" customHeight="1" x14ac:dyDescent="0.3">
      <c r="B8" s="21" t="s">
        <v>391</v>
      </c>
      <c r="C8" s="75" t="s">
        <v>30</v>
      </c>
      <c r="D8" s="34" t="s">
        <v>392</v>
      </c>
      <c r="E8" s="34" t="s">
        <v>393</v>
      </c>
      <c r="F8" s="76" t="s">
        <v>380</v>
      </c>
    </row>
    <row r="9" spans="2:6" ht="30" customHeight="1" x14ac:dyDescent="0.3">
      <c r="B9" s="21" t="s">
        <v>394</v>
      </c>
      <c r="C9" s="75" t="s">
        <v>395</v>
      </c>
      <c r="D9" s="34" t="s">
        <v>396</v>
      </c>
      <c r="E9" s="34" t="s">
        <v>397</v>
      </c>
      <c r="F9" s="76" t="s">
        <v>380</v>
      </c>
    </row>
    <row r="10" spans="2:6" ht="30" customHeight="1" x14ac:dyDescent="0.3">
      <c r="B10" s="21" t="s">
        <v>398</v>
      </c>
      <c r="C10" s="75" t="s">
        <v>22</v>
      </c>
      <c r="D10" s="34" t="s">
        <v>399</v>
      </c>
      <c r="E10" s="34" t="s">
        <v>400</v>
      </c>
      <c r="F10" s="76" t="s">
        <v>380</v>
      </c>
    </row>
    <row r="11" spans="2:6" ht="30" customHeight="1" x14ac:dyDescent="0.3">
      <c r="B11" s="21" t="s">
        <v>401</v>
      </c>
      <c r="C11" s="75" t="s">
        <v>22</v>
      </c>
      <c r="D11" s="34" t="s">
        <v>402</v>
      </c>
      <c r="E11" s="34" t="s">
        <v>400</v>
      </c>
      <c r="F11" s="76" t="s">
        <v>380</v>
      </c>
    </row>
    <row r="13" spans="2:6" ht="21.75" customHeight="1" x14ac:dyDescent="0.3">
      <c r="B13" s="7" t="s">
        <v>403</v>
      </c>
      <c r="C13" s="7"/>
      <c r="D13" s="7"/>
      <c r="E13" s="7"/>
      <c r="F13" s="7"/>
    </row>
  </sheetData>
  <mergeCells count="1">
    <mergeCell ref="B13:F13"/>
  </mergeCells>
  <pageMargins left="0.75" right="0.75" top="1" bottom="1" header="0.511811023622047" footer="0.511811023622047"/>
  <pageSetup paperSize="9" scale="99"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D24"/>
  <sheetViews>
    <sheetView showGridLines="0" zoomScaleNormal="100" workbookViewId="0">
      <selection activeCell="B1" sqref="B1"/>
    </sheetView>
  </sheetViews>
  <sheetFormatPr defaultColWidth="8.6640625" defaultRowHeight="14.4" x14ac:dyDescent="0.3"/>
  <cols>
    <col min="1" max="1" width="3" customWidth="1"/>
    <col min="2" max="2" width="72.6640625" bestFit="1" customWidth="1"/>
    <col min="3" max="3" width="16" customWidth="1"/>
  </cols>
  <sheetData>
    <row r="1" spans="2:4" ht="25.5" customHeight="1" x14ac:dyDescent="0.3">
      <c r="B1" s="13" t="s">
        <v>404</v>
      </c>
      <c r="C1" s="13"/>
    </row>
    <row r="3" spans="2:4" ht="15.75" customHeight="1" x14ac:dyDescent="0.3">
      <c r="B3" s="17" t="s">
        <v>405</v>
      </c>
      <c r="C3" s="17"/>
      <c r="D3" s="17"/>
    </row>
    <row r="4" spans="2:4" ht="30" customHeight="1" x14ac:dyDescent="0.3">
      <c r="B4" s="18" t="s">
        <v>406</v>
      </c>
      <c r="C4" s="18" t="s">
        <v>407</v>
      </c>
    </row>
    <row r="5" spans="2:4" ht="15" customHeight="1" x14ac:dyDescent="0.3">
      <c r="B5" s="34" t="s">
        <v>408</v>
      </c>
      <c r="C5" s="39">
        <v>5.5</v>
      </c>
    </row>
    <row r="6" spans="2:4" ht="15" customHeight="1" x14ac:dyDescent="0.3">
      <c r="B6" s="34" t="s">
        <v>409</v>
      </c>
      <c r="C6" s="39">
        <v>0.8</v>
      </c>
    </row>
    <row r="7" spans="2:4" ht="15" customHeight="1" x14ac:dyDescent="0.3">
      <c r="B7" s="34" t="s">
        <v>410</v>
      </c>
      <c r="C7" s="39">
        <v>0.6</v>
      </c>
    </row>
    <row r="8" spans="2:4" ht="15" customHeight="1" x14ac:dyDescent="0.3">
      <c r="B8" s="34" t="s">
        <v>411</v>
      </c>
      <c r="C8" s="39">
        <v>0.4</v>
      </c>
    </row>
    <row r="9" spans="2:4" ht="15" customHeight="1" x14ac:dyDescent="0.3">
      <c r="B9" s="34" t="s">
        <v>412</v>
      </c>
      <c r="C9" s="39">
        <v>0.3</v>
      </c>
    </row>
    <row r="10" spans="2:4" ht="15" customHeight="1" x14ac:dyDescent="0.3">
      <c r="B10" s="34" t="s">
        <v>413</v>
      </c>
      <c r="C10" s="39">
        <v>0.3</v>
      </c>
    </row>
    <row r="11" spans="2:4" ht="15" customHeight="1" x14ac:dyDescent="0.3">
      <c r="B11" s="34" t="s">
        <v>414</v>
      </c>
      <c r="C11" s="39">
        <v>0.4</v>
      </c>
    </row>
    <row r="12" spans="2:4" ht="15" customHeight="1" x14ac:dyDescent="0.3">
      <c r="B12" s="20" t="s">
        <v>415</v>
      </c>
      <c r="C12" s="49">
        <f>SUM(C5:C11)</f>
        <v>8.2999999999999989</v>
      </c>
    </row>
    <row r="14" spans="2:4" ht="15" customHeight="1" x14ac:dyDescent="0.3">
      <c r="B14" s="24" t="s">
        <v>416</v>
      </c>
    </row>
    <row r="15" spans="2:4" ht="30" customHeight="1" x14ac:dyDescent="0.3">
      <c r="B15" s="18" t="s">
        <v>406</v>
      </c>
      <c r="C15" s="18" t="s">
        <v>417</v>
      </c>
    </row>
    <row r="16" spans="2:4" ht="15" customHeight="1" x14ac:dyDescent="0.3">
      <c r="B16" s="34" t="s">
        <v>408</v>
      </c>
      <c r="C16" s="46">
        <f t="shared" ref="C16:C22" si="0">C5/$C$12</f>
        <v>0.66265060240963869</v>
      </c>
    </row>
    <row r="17" spans="2:3" ht="15" customHeight="1" x14ac:dyDescent="0.3">
      <c r="B17" s="34" t="s">
        <v>409</v>
      </c>
      <c r="C17" s="46">
        <f t="shared" si="0"/>
        <v>9.6385542168674718E-2</v>
      </c>
    </row>
    <row r="18" spans="2:3" ht="15" customHeight="1" x14ac:dyDescent="0.3">
      <c r="B18" s="34" t="s">
        <v>410</v>
      </c>
      <c r="C18" s="46">
        <f t="shared" si="0"/>
        <v>7.2289156626506035E-2</v>
      </c>
    </row>
    <row r="19" spans="2:3" ht="15" customHeight="1" x14ac:dyDescent="0.3">
      <c r="B19" s="34" t="s">
        <v>411</v>
      </c>
      <c r="C19" s="46">
        <f t="shared" si="0"/>
        <v>4.8192771084337359E-2</v>
      </c>
    </row>
    <row r="20" spans="2:3" ht="15" customHeight="1" x14ac:dyDescent="0.3">
      <c r="B20" s="34" t="s">
        <v>412</v>
      </c>
      <c r="C20" s="46">
        <f t="shared" si="0"/>
        <v>3.6144578313253017E-2</v>
      </c>
    </row>
    <row r="21" spans="2:3" ht="15" customHeight="1" x14ac:dyDescent="0.3">
      <c r="B21" s="34" t="s">
        <v>413</v>
      </c>
      <c r="C21" s="46">
        <f t="shared" si="0"/>
        <v>3.6144578313253017E-2</v>
      </c>
    </row>
    <row r="22" spans="2:3" ht="15" customHeight="1" x14ac:dyDescent="0.3">
      <c r="B22" s="34" t="s">
        <v>414</v>
      </c>
      <c r="C22" s="46">
        <f t="shared" si="0"/>
        <v>4.8192771084337359E-2</v>
      </c>
    </row>
    <row r="24" spans="2:3" ht="32.25" customHeight="1" x14ac:dyDescent="0.3">
      <c r="B24" s="7" t="s">
        <v>418</v>
      </c>
      <c r="C24" s="7"/>
    </row>
  </sheetData>
  <mergeCells count="1">
    <mergeCell ref="B24:C24"/>
  </mergeCells>
  <pageMargins left="0.75" right="0.75" top="1" bottom="1"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D14"/>
  <sheetViews>
    <sheetView showGridLines="0" zoomScaleNormal="100" workbookViewId="0">
      <selection activeCell="B6" sqref="B6"/>
    </sheetView>
  </sheetViews>
  <sheetFormatPr defaultColWidth="8.6640625" defaultRowHeight="14.4" x14ac:dyDescent="0.3"/>
  <cols>
    <col min="1" max="1" width="3" customWidth="1"/>
    <col min="2" max="2" width="48.21875" customWidth="1"/>
    <col min="3" max="3" width="41.5546875" bestFit="1" customWidth="1"/>
    <col min="4" max="4" width="29.6640625" bestFit="1" customWidth="1"/>
  </cols>
  <sheetData>
    <row r="1" spans="2:4" ht="25.5" customHeight="1" x14ac:dyDescent="0.3">
      <c r="B1" s="13" t="s">
        <v>419</v>
      </c>
      <c r="C1" s="13"/>
      <c r="D1" s="13"/>
    </row>
    <row r="3" spans="2:4" ht="32.25" customHeight="1" x14ac:dyDescent="0.3">
      <c r="B3" s="7" t="s">
        <v>420</v>
      </c>
      <c r="C3" s="7"/>
      <c r="D3" s="7"/>
    </row>
    <row r="6" spans="2:4" ht="30" customHeight="1" x14ac:dyDescent="0.3">
      <c r="B6" s="18" t="s">
        <v>421</v>
      </c>
      <c r="C6" s="18" t="s">
        <v>422</v>
      </c>
      <c r="D6" s="18" t="s">
        <v>423</v>
      </c>
    </row>
    <row r="7" spans="2:4" ht="27.75" customHeight="1" x14ac:dyDescent="0.3">
      <c r="B7" s="20" t="s">
        <v>424</v>
      </c>
      <c r="C7" s="34" t="s">
        <v>425</v>
      </c>
      <c r="D7" s="75" t="s">
        <v>426</v>
      </c>
    </row>
    <row r="8" spans="2:4" ht="27.75" customHeight="1" x14ac:dyDescent="0.3">
      <c r="B8" s="20" t="s">
        <v>427</v>
      </c>
      <c r="C8" s="34" t="s">
        <v>428</v>
      </c>
      <c r="D8" s="75" t="s">
        <v>429</v>
      </c>
    </row>
    <row r="9" spans="2:4" ht="27.75" customHeight="1" x14ac:dyDescent="0.3">
      <c r="B9" s="20" t="s">
        <v>430</v>
      </c>
      <c r="C9" s="34" t="s">
        <v>431</v>
      </c>
      <c r="D9" s="75" t="s">
        <v>432</v>
      </c>
    </row>
    <row r="10" spans="2:4" ht="27.75" customHeight="1" x14ac:dyDescent="0.3">
      <c r="B10" s="20" t="s">
        <v>433</v>
      </c>
      <c r="C10" s="34" t="s">
        <v>434</v>
      </c>
      <c r="D10" s="75" t="s">
        <v>435</v>
      </c>
    </row>
    <row r="11" spans="2:4" ht="27.75" customHeight="1" x14ac:dyDescent="0.3">
      <c r="B11" s="20" t="s">
        <v>436</v>
      </c>
      <c r="C11" s="34" t="s">
        <v>437</v>
      </c>
      <c r="D11" s="75" t="s">
        <v>438</v>
      </c>
    </row>
    <row r="12" spans="2:4" ht="27.75" customHeight="1" x14ac:dyDescent="0.3">
      <c r="B12" s="20" t="s">
        <v>439</v>
      </c>
      <c r="C12" s="34" t="s">
        <v>440</v>
      </c>
      <c r="D12" s="75" t="s">
        <v>441</v>
      </c>
    </row>
    <row r="13" spans="2:4" ht="27.75" customHeight="1" x14ac:dyDescent="0.3">
      <c r="B13" s="20" t="s">
        <v>442</v>
      </c>
      <c r="C13" s="34" t="s">
        <v>443</v>
      </c>
      <c r="D13" s="75" t="s">
        <v>444</v>
      </c>
    </row>
    <row r="14" spans="2:4" ht="27.75" customHeight="1" x14ac:dyDescent="0.3">
      <c r="B14" s="20" t="s">
        <v>445</v>
      </c>
      <c r="C14" s="34" t="s">
        <v>446</v>
      </c>
      <c r="D14" s="75" t="s">
        <v>447</v>
      </c>
    </row>
  </sheetData>
  <mergeCells count="1">
    <mergeCell ref="B3:D3"/>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Phase 0-2 Ask</vt:lpstr>
      <vt:lpstr>Assumptions</vt:lpstr>
      <vt:lpstr>Acquisition Funnel</vt:lpstr>
      <vt:lpstr>Unit Economics</vt:lpstr>
      <vt:lpstr>3-Year P&amp;L</vt:lpstr>
      <vt:lpstr>Scenario Analysis</vt:lpstr>
      <vt:lpstr>Pilot Design</vt:lpstr>
      <vt:lpstr>Capital Allocation</vt:lpstr>
      <vt:lpstr>CEO Dashboard</vt:lpstr>
      <vt:lpstr>Capital &amp; Returns</vt:lpstr>
      <vt:lpstr>Sensitivity</vt:lpstr>
      <vt:lpstr>Executive KPI Dashboard</vt:lpstr>
      <vt:lpstr>Board Scorecard</vt:lpstr>
      <vt:lpstr>Data Validation Tracker</vt:lpstr>
      <vt:lpstr>Implementation Budget</vt:lpstr>
      <vt:lpstr>Chart Data Bridge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chhaya pathania</cp:lastModifiedBy>
  <cp:revision>12</cp:revision>
  <cp:lastPrinted>2026-08-02T22:27:45Z</cp:lastPrinted>
  <dcterms:created xsi:type="dcterms:W3CDTF">2026-08-01T11:52:21Z</dcterms:created>
  <dcterms:modified xsi:type="dcterms:W3CDTF">2026-08-02T22:27:55Z</dcterms:modified>
  <dc:language>en-US</dc:language>
</cp:coreProperties>
</file>